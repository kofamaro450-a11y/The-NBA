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mes" sheetId="1" state="visible" r:id="rId3"/>
  </sheets>
  <definedNames>
    <definedName function="false" hidden="true" localSheetId="0" name="_xlnm._FilterDatabase" vbProcedure="false">Games!$A$4:$T$60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<sst xmlns="http://schemas.openxmlformats.org/spreadsheetml/2006/main" count="192" uniqueCount="62">
  <si>
    <t xml:space="preserve">NBA 2026-27: quarter-by-quarter scores, Oct 20-27, 2026 (56 games)</t>
  </si>
  <si>
    <t xml:space="preserve">Home team listed in its own columns. OT = total points in overtime (all OT periods combined). Totals and margin are formulas. Dates are US Eastern game dates.</t>
  </si>
  <si>
    <t xml:space="preserve">Date</t>
  </si>
  <si>
    <t xml:space="preserve">Away team</t>
  </si>
  <si>
    <t xml:space="preserve">Home team</t>
  </si>
  <si>
    <t xml:space="preserve">Away Q1</t>
  </si>
  <si>
    <t xml:space="preserve">Away Q2</t>
  </si>
  <si>
    <t xml:space="preserve">Away Q3</t>
  </si>
  <si>
    <t xml:space="preserve">Away Q4</t>
  </si>
  <si>
    <t xml:space="preserve">Away OT</t>
  </si>
  <si>
    <t xml:space="preserve">Away total</t>
  </si>
  <si>
    <t xml:space="preserve">Home Q1</t>
  </si>
  <si>
    <t xml:space="preserve">Home Q2</t>
  </si>
  <si>
    <t xml:space="preserve">Home Q3</t>
  </si>
  <si>
    <t xml:space="preserve">Home Q4</t>
  </si>
  <si>
    <t xml:space="preserve">Home OT</t>
  </si>
  <si>
    <t xml:space="preserve">Home total</t>
  </si>
  <si>
    <t xml:space="preserve">Winner</t>
  </si>
  <si>
    <t xml:space="preserve">Margin (pts)</t>
  </si>
  <si>
    <t xml:space="preserve">PDF away</t>
  </si>
  <si>
    <t xml:space="preserve">PDF home</t>
  </si>
  <si>
    <t xml:space="preserve">Check vs PDF</t>
  </si>
  <si>
    <t xml:space="preserve">Tue Oct 20</t>
  </si>
  <si>
    <t xml:space="preserve">Boston Celtics</t>
  </si>
  <si>
    <t xml:space="preserve">Detroit Pistons</t>
  </si>
  <si>
    <t xml:space="preserve">Philadelphia 76ers</t>
  </si>
  <si>
    <t xml:space="preserve">New York Knicks</t>
  </si>
  <si>
    <t xml:space="preserve">Oklahoma City Thunder</t>
  </si>
  <si>
    <t xml:space="preserve">San Antonio Spurs</t>
  </si>
  <si>
    <t xml:space="preserve">Wed Oct 21</t>
  </si>
  <si>
    <t xml:space="preserve">Atlanta Hawks</t>
  </si>
  <si>
    <t xml:space="preserve">Orlando Magic</t>
  </si>
  <si>
    <t xml:space="preserve">Milwaukee Bucks</t>
  </si>
  <si>
    <t xml:space="preserve">Washington Wizards</t>
  </si>
  <si>
    <t xml:space="preserve">Minnesota Timberwolves</t>
  </si>
  <si>
    <t xml:space="preserve">Miami Heat</t>
  </si>
  <si>
    <t xml:space="preserve">Charlotte Hornets</t>
  </si>
  <si>
    <t xml:space="preserve">Brooklyn Nets</t>
  </si>
  <si>
    <t xml:space="preserve">Chicago Bulls</t>
  </si>
  <si>
    <t xml:space="preserve">Toronto Raptors</t>
  </si>
  <si>
    <t xml:space="preserve">Utah Jazz</t>
  </si>
  <si>
    <t xml:space="preserve">Memphis Grizzlies</t>
  </si>
  <si>
    <t xml:space="preserve">Indiana Pacers</t>
  </si>
  <si>
    <t xml:space="preserve">New Orleans Pelicans</t>
  </si>
  <si>
    <t xml:space="preserve">Dallas Mavericks</t>
  </si>
  <si>
    <t xml:space="preserve">Houston Rockets</t>
  </si>
  <si>
    <t xml:space="preserve">Phoenix Suns</t>
  </si>
  <si>
    <t xml:space="preserve">Portland Trail Blazers</t>
  </si>
  <si>
    <t xml:space="preserve">Golden State Warriors</t>
  </si>
  <si>
    <t xml:space="preserve">Los Angeles Lakers</t>
  </si>
  <si>
    <t xml:space="preserve">Sacramento Kings</t>
  </si>
  <si>
    <t xml:space="preserve">LA Clippers</t>
  </si>
  <si>
    <t xml:space="preserve">Thu Oct 22</t>
  </si>
  <si>
    <t xml:space="preserve">Cleveland Cavaliers</t>
  </si>
  <si>
    <t xml:space="preserve">Denver Nuggets</t>
  </si>
  <si>
    <t xml:space="preserve">Fri Oct 23</t>
  </si>
  <si>
    <t xml:space="preserve">Sat Oct 24</t>
  </si>
  <si>
    <t xml:space="preserve">Sun Oct 25</t>
  </si>
  <si>
    <t xml:space="preserve">Mon Oct 26</t>
  </si>
  <si>
    <t xml:space="preserve">Tue Oct 27</t>
  </si>
  <si>
    <t xml:space="preserve">Games with a check mismatch:</t>
  </si>
  <si>
    <t xml:space="preserve">Sources: quarter scores from FantasyData, Land of Basketball, ESPN, StatMuse, basketball-reference and Sportradar (via sports-data feed). PDF totals from the attached results file.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</si>
</sst>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CCFFFF"/>
      </patternFill>
    </fill>
    <fill>
      <patternFill patternType="solid">
        <fgColor rgb="FFFCE4D6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4"/>
    <col collapsed="false" customWidth="true" hidden="false" outlineLevel="0" max="8" min="4" style="0" width="8"/>
    <col collapsed="false" customWidth="true" hidden="false" outlineLevel="0" max="9" min="9" style="0" width="10"/>
    <col collapsed="false" customWidth="true" hidden="false" outlineLevel="0" max="14" min="10" style="0" width="8"/>
    <col collapsed="false" customWidth="true" hidden="false" outlineLevel="0" max="15" min="15" style="0" width="10"/>
    <col collapsed="false" customWidth="true" hidden="false" outlineLevel="0" max="16" min="16" style="0" width="24"/>
    <col collapsed="false" customWidth="true" hidden="false" outlineLevel="0" max="17" min="17" style="0" width="11"/>
    <col collapsed="false" customWidth="true" hidden="false" outlineLevel="0" max="19" min="18" style="0" width="9"/>
    <col collapsed="false" customWidth="true" hidden="false" outlineLevel="0" max="20" min="20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customFormat="false" ht="15" hidden="false" customHeight="false" outlineLevel="0" collapsed="false">
      <c r="A5" s="4" t="s">
        <v>22</v>
      </c>
      <c r="B5" s="4" t="s">
        <v>23</v>
      </c>
      <c r="C5" s="4" t="s">
        <v>24</v>
      </c>
      <c r="D5" s="5" t="n">
        <v>28</v>
      </c>
      <c r="E5" s="5" t="n">
        <v>30</v>
      </c>
      <c r="F5" s="5" t="n">
        <v>30</v>
      </c>
      <c r="G5" s="5" t="n">
        <v>25</v>
      </c>
      <c r="H5" s="5" t="n">
        <v>0</v>
      </c>
      <c r="I5" s="6" t="n">
        <f aca="false">SUM(D5:H5)</f>
        <v>113</v>
      </c>
      <c r="J5" s="7" t="n">
        <v>27</v>
      </c>
      <c r="K5" s="7" t="n">
        <v>18</v>
      </c>
      <c r="L5" s="7" t="n">
        <v>37</v>
      </c>
      <c r="M5" s="7" t="n">
        <v>39</v>
      </c>
      <c r="N5" s="7" t="n">
        <v>0</v>
      </c>
      <c r="O5" s="8" t="n">
        <f aca="false">SUM(J5:N5)</f>
        <v>121</v>
      </c>
      <c r="P5" s="4" t="str">
        <f aca="false">IF(I5&gt;O5,B5,C5)</f>
        <v>Detroit Pistons</v>
      </c>
      <c r="Q5" s="9" t="n">
        <f aca="false">ABS(I5-O5)</f>
        <v>8</v>
      </c>
      <c r="R5" s="10" t="n">
        <v>113</v>
      </c>
      <c r="S5" s="10" t="n">
        <v>121</v>
      </c>
      <c r="T5" s="10" t="str">
        <f aca="false">IF(AND(I5=R5,O5=S5),"OK","MISMATCH")</f>
        <v>OK</v>
      </c>
    </row>
    <row r="6" customFormat="false" ht="15" hidden="false" customHeight="false" outlineLevel="0" collapsed="false">
      <c r="A6" s="4" t="s">
        <v>22</v>
      </c>
      <c r="B6" s="4" t="s">
        <v>25</v>
      </c>
      <c r="C6" s="4" t="s">
        <v>26</v>
      </c>
      <c r="D6" s="5" t="n">
        <v>23</v>
      </c>
      <c r="E6" s="5" t="n">
        <v>31</v>
      </c>
      <c r="F6" s="5" t="n">
        <v>29</v>
      </c>
      <c r="G6" s="5" t="n">
        <v>23</v>
      </c>
      <c r="H6" s="5" t="n">
        <v>0</v>
      </c>
      <c r="I6" s="6" t="n">
        <f aca="false">SUM(D6:H6)</f>
        <v>106</v>
      </c>
      <c r="J6" s="7" t="n">
        <v>25</v>
      </c>
      <c r="K6" s="7" t="n">
        <v>33</v>
      </c>
      <c r="L6" s="7" t="n">
        <v>18</v>
      </c>
      <c r="M6" s="7" t="n">
        <v>24</v>
      </c>
      <c r="N6" s="7" t="n">
        <v>0</v>
      </c>
      <c r="O6" s="8" t="n">
        <f aca="false">SUM(J6:N6)</f>
        <v>100</v>
      </c>
      <c r="P6" s="4" t="str">
        <f aca="false">IF(I6&gt;O6,B6,C6)</f>
        <v>Philadelphia 76ers</v>
      </c>
      <c r="Q6" s="9" t="n">
        <f aca="false">ABS(I6-O6)</f>
        <v>6</v>
      </c>
      <c r="R6" s="10" t="n">
        <v>106</v>
      </c>
      <c r="S6" s="10" t="n">
        <v>100</v>
      </c>
      <c r="T6" s="10" t="str">
        <f aca="false">IF(AND(I6=R6,O6=S6),"OK","MISMATCH")</f>
        <v>OK</v>
      </c>
    </row>
    <row r="7" customFormat="false" ht="15" hidden="false" customHeight="false" outlineLevel="0" collapsed="false">
      <c r="A7" s="4" t="s">
        <v>22</v>
      </c>
      <c r="B7" s="4" t="s">
        <v>27</v>
      </c>
      <c r="C7" s="4" t="s">
        <v>28</v>
      </c>
      <c r="D7" s="5" t="n">
        <v>34</v>
      </c>
      <c r="E7" s="5" t="n">
        <v>31</v>
      </c>
      <c r="F7" s="5" t="n">
        <v>28</v>
      </c>
      <c r="G7" s="5" t="n">
        <v>23</v>
      </c>
      <c r="H7" s="5" t="n">
        <v>0</v>
      </c>
      <c r="I7" s="6" t="n">
        <f aca="false">SUM(D7:H7)</f>
        <v>116</v>
      </c>
      <c r="J7" s="7" t="n">
        <v>28</v>
      </c>
      <c r="K7" s="7" t="n">
        <v>16</v>
      </c>
      <c r="L7" s="7" t="n">
        <v>36</v>
      </c>
      <c r="M7" s="7" t="n">
        <v>24</v>
      </c>
      <c r="N7" s="7" t="n">
        <v>0</v>
      </c>
      <c r="O7" s="8" t="n">
        <f aca="false">SUM(J7:N7)</f>
        <v>104</v>
      </c>
      <c r="P7" s="4" t="str">
        <f aca="false">IF(I7&gt;O7,B7,C7)</f>
        <v>Oklahoma City Thunder</v>
      </c>
      <c r="Q7" s="9" t="n">
        <f aca="false">ABS(I7-O7)</f>
        <v>12</v>
      </c>
      <c r="R7" s="10" t="n">
        <v>116</v>
      </c>
      <c r="S7" s="10" t="n">
        <v>104</v>
      </c>
      <c r="T7" s="10" t="str">
        <f aca="false">IF(AND(I7=R7,O7=S7),"OK","MISMATCH")</f>
        <v>OK</v>
      </c>
    </row>
    <row r="8" customFormat="false" ht="15" hidden="false" customHeight="false" outlineLevel="0" collapsed="false">
      <c r="A8" s="4" t="s">
        <v>29</v>
      </c>
      <c r="B8" s="4" t="s">
        <v>30</v>
      </c>
      <c r="C8" s="4" t="s">
        <v>31</v>
      </c>
      <c r="D8" s="5" t="n">
        <v>28</v>
      </c>
      <c r="E8" s="5" t="n">
        <v>44</v>
      </c>
      <c r="F8" s="5" t="n">
        <v>27</v>
      </c>
      <c r="G8" s="5" t="n">
        <v>33</v>
      </c>
      <c r="H8" s="5" t="n">
        <v>0</v>
      </c>
      <c r="I8" s="6" t="n">
        <f aca="false">SUM(D8:H8)</f>
        <v>132</v>
      </c>
      <c r="J8" s="7" t="n">
        <v>33</v>
      </c>
      <c r="K8" s="7" t="n">
        <v>29</v>
      </c>
      <c r="L8" s="7" t="n">
        <v>38</v>
      </c>
      <c r="M8" s="7" t="n">
        <v>25</v>
      </c>
      <c r="N8" s="7" t="n">
        <v>0</v>
      </c>
      <c r="O8" s="8" t="n">
        <f aca="false">SUM(J8:N8)</f>
        <v>125</v>
      </c>
      <c r="P8" s="4" t="str">
        <f aca="false">IF(I8&gt;O8,B8,C8)</f>
        <v>Atlanta Hawks</v>
      </c>
      <c r="Q8" s="9" t="n">
        <f aca="false">ABS(I8-O8)</f>
        <v>7</v>
      </c>
      <c r="R8" s="10" t="n">
        <v>132</v>
      </c>
      <c r="S8" s="10" t="n">
        <v>125</v>
      </c>
      <c r="T8" s="10" t="str">
        <f aca="false">IF(AND(I8=R8,O8=S8),"OK","MISMATCH")</f>
        <v>OK</v>
      </c>
    </row>
    <row r="9" customFormat="false" ht="15" hidden="false" customHeight="false" outlineLevel="0" collapsed="false">
      <c r="A9" s="4" t="s">
        <v>29</v>
      </c>
      <c r="B9" s="4" t="s">
        <v>32</v>
      </c>
      <c r="C9" s="4" t="s">
        <v>33</v>
      </c>
      <c r="D9" s="5" t="n">
        <v>23</v>
      </c>
      <c r="E9" s="5" t="n">
        <v>33</v>
      </c>
      <c r="F9" s="5" t="n">
        <v>37</v>
      </c>
      <c r="G9" s="5" t="n">
        <v>23</v>
      </c>
      <c r="H9" s="5" t="n">
        <v>0</v>
      </c>
      <c r="I9" s="6" t="n">
        <f aca="false">SUM(D9:H9)</f>
        <v>116</v>
      </c>
      <c r="J9" s="7" t="n">
        <v>25</v>
      </c>
      <c r="K9" s="7" t="n">
        <v>26</v>
      </c>
      <c r="L9" s="7" t="n">
        <v>39</v>
      </c>
      <c r="M9" s="7" t="n">
        <v>38</v>
      </c>
      <c r="N9" s="7" t="n">
        <v>0</v>
      </c>
      <c r="O9" s="8" t="n">
        <f aca="false">SUM(J9:N9)</f>
        <v>128</v>
      </c>
      <c r="P9" s="4" t="str">
        <f aca="false">IF(I9&gt;O9,B9,C9)</f>
        <v>Washington Wizards</v>
      </c>
      <c r="Q9" s="9" t="n">
        <f aca="false">ABS(I9-O9)</f>
        <v>12</v>
      </c>
      <c r="R9" s="10" t="n">
        <v>116</v>
      </c>
      <c r="S9" s="10" t="n">
        <v>128</v>
      </c>
      <c r="T9" s="10" t="str">
        <f aca="false">IF(AND(I9=R9,O9=S9),"OK","MISMATCH")</f>
        <v>OK</v>
      </c>
    </row>
    <row r="10" customFormat="false" ht="15" hidden="false" customHeight="false" outlineLevel="0" collapsed="false">
      <c r="A10" s="4" t="s">
        <v>29</v>
      </c>
      <c r="B10" s="4" t="s">
        <v>34</v>
      </c>
      <c r="C10" s="4" t="s">
        <v>35</v>
      </c>
      <c r="D10" s="5" t="n">
        <v>34</v>
      </c>
      <c r="E10" s="5" t="n">
        <v>35</v>
      </c>
      <c r="F10" s="5" t="n">
        <v>30</v>
      </c>
      <c r="G10" s="5" t="n">
        <v>32</v>
      </c>
      <c r="H10" s="5" t="n">
        <v>0</v>
      </c>
      <c r="I10" s="6" t="n">
        <f aca="false">SUM(D10:H10)</f>
        <v>131</v>
      </c>
      <c r="J10" s="7" t="n">
        <v>32</v>
      </c>
      <c r="K10" s="7" t="n">
        <v>27</v>
      </c>
      <c r="L10" s="7" t="n">
        <v>22</v>
      </c>
      <c r="M10" s="7" t="n">
        <v>25</v>
      </c>
      <c r="N10" s="7" t="n">
        <v>0</v>
      </c>
      <c r="O10" s="8" t="n">
        <f aca="false">SUM(J10:N10)</f>
        <v>106</v>
      </c>
      <c r="P10" s="4" t="str">
        <f aca="false">IF(I10&gt;O10,B10,C10)</f>
        <v>Minnesota Timberwolves</v>
      </c>
      <c r="Q10" s="9" t="n">
        <f aca="false">ABS(I10-O10)</f>
        <v>25</v>
      </c>
      <c r="R10" s="10" t="n">
        <v>131</v>
      </c>
      <c r="S10" s="10" t="n">
        <v>106</v>
      </c>
      <c r="T10" s="10" t="str">
        <f aca="false">IF(AND(I10=R10,O10=S10),"OK","MISMATCH")</f>
        <v>OK</v>
      </c>
    </row>
    <row r="11" customFormat="false" ht="15" hidden="false" customHeight="false" outlineLevel="0" collapsed="false">
      <c r="A11" s="4" t="s">
        <v>29</v>
      </c>
      <c r="B11" s="4" t="s">
        <v>36</v>
      </c>
      <c r="C11" s="4" t="s">
        <v>37</v>
      </c>
      <c r="D11" s="5" t="n">
        <v>27</v>
      </c>
      <c r="E11" s="5" t="n">
        <v>27</v>
      </c>
      <c r="F11" s="5" t="n">
        <v>32</v>
      </c>
      <c r="G11" s="5" t="n">
        <v>24</v>
      </c>
      <c r="H11" s="5" t="n">
        <v>0</v>
      </c>
      <c r="I11" s="6" t="n">
        <f aca="false">SUM(D11:H11)</f>
        <v>110</v>
      </c>
      <c r="J11" s="7" t="n">
        <v>23</v>
      </c>
      <c r="K11" s="7" t="n">
        <v>25</v>
      </c>
      <c r="L11" s="7" t="n">
        <v>33</v>
      </c>
      <c r="M11" s="7" t="n">
        <v>22</v>
      </c>
      <c r="N11" s="7" t="n">
        <v>0</v>
      </c>
      <c r="O11" s="8" t="n">
        <f aca="false">SUM(J11:N11)</f>
        <v>103</v>
      </c>
      <c r="P11" s="4" t="str">
        <f aca="false">IF(I11&gt;O11,B11,C11)</f>
        <v>Charlotte Hornets</v>
      </c>
      <c r="Q11" s="9" t="n">
        <f aca="false">ABS(I11-O11)</f>
        <v>7</v>
      </c>
      <c r="R11" s="10" t="n">
        <v>110</v>
      </c>
      <c r="S11" s="10" t="n">
        <v>103</v>
      </c>
      <c r="T11" s="10" t="str">
        <f aca="false">IF(AND(I11=R11,O11=S11),"OK","MISMATCH")</f>
        <v>OK</v>
      </c>
    </row>
    <row r="12" customFormat="false" ht="15" hidden="false" customHeight="false" outlineLevel="0" collapsed="false">
      <c r="A12" s="4" t="s">
        <v>29</v>
      </c>
      <c r="B12" s="4" t="s">
        <v>38</v>
      </c>
      <c r="C12" s="4" t="s">
        <v>39</v>
      </c>
      <c r="D12" s="5" t="n">
        <v>23</v>
      </c>
      <c r="E12" s="5" t="n">
        <v>21</v>
      </c>
      <c r="F12" s="5" t="n">
        <v>27</v>
      </c>
      <c r="G12" s="5" t="n">
        <v>21</v>
      </c>
      <c r="H12" s="5" t="n">
        <v>0</v>
      </c>
      <c r="I12" s="6" t="n">
        <f aca="false">SUM(D12:H12)</f>
        <v>92</v>
      </c>
      <c r="J12" s="7" t="n">
        <v>43</v>
      </c>
      <c r="K12" s="7" t="n">
        <v>26</v>
      </c>
      <c r="L12" s="7" t="n">
        <v>34</v>
      </c>
      <c r="M12" s="7" t="n">
        <v>32</v>
      </c>
      <c r="N12" s="7" t="n">
        <v>0</v>
      </c>
      <c r="O12" s="8" t="n">
        <f aca="false">SUM(J12:N12)</f>
        <v>135</v>
      </c>
      <c r="P12" s="4" t="str">
        <f aca="false">IF(I12&gt;O12,B12,C12)</f>
        <v>Toronto Raptors</v>
      </c>
      <c r="Q12" s="9" t="n">
        <f aca="false">ABS(I12-O12)</f>
        <v>43</v>
      </c>
      <c r="R12" s="10" t="n">
        <v>92</v>
      </c>
      <c r="S12" s="10" t="n">
        <v>135</v>
      </c>
      <c r="T12" s="10" t="str">
        <f aca="false">IF(AND(I12=R12,O12=S12),"OK","MISMATCH")</f>
        <v>OK</v>
      </c>
    </row>
    <row r="13" customFormat="false" ht="15" hidden="false" customHeight="false" outlineLevel="0" collapsed="false">
      <c r="A13" s="4" t="s">
        <v>29</v>
      </c>
      <c r="B13" s="4" t="s">
        <v>40</v>
      </c>
      <c r="C13" s="4" t="s">
        <v>41</v>
      </c>
      <c r="D13" s="5" t="n">
        <v>31</v>
      </c>
      <c r="E13" s="5" t="n">
        <v>20</v>
      </c>
      <c r="F13" s="5" t="n">
        <v>28</v>
      </c>
      <c r="G13" s="5" t="n">
        <v>24</v>
      </c>
      <c r="H13" s="5" t="n">
        <v>0</v>
      </c>
      <c r="I13" s="6" t="n">
        <f aca="false">SUM(D13:H13)</f>
        <v>103</v>
      </c>
      <c r="J13" s="7" t="n">
        <v>29</v>
      </c>
      <c r="K13" s="7" t="n">
        <v>35</v>
      </c>
      <c r="L13" s="7" t="n">
        <v>34</v>
      </c>
      <c r="M13" s="7" t="n">
        <v>25</v>
      </c>
      <c r="N13" s="7" t="n">
        <v>0</v>
      </c>
      <c r="O13" s="8" t="n">
        <f aca="false">SUM(J13:N13)</f>
        <v>123</v>
      </c>
      <c r="P13" s="4" t="str">
        <f aca="false">IF(I13&gt;O13,B13,C13)</f>
        <v>Memphis Grizzlies</v>
      </c>
      <c r="Q13" s="9" t="n">
        <f aca="false">ABS(I13-O13)</f>
        <v>20</v>
      </c>
      <c r="R13" s="10" t="n">
        <v>103</v>
      </c>
      <c r="S13" s="10" t="n">
        <v>123</v>
      </c>
      <c r="T13" s="10" t="str">
        <f aca="false">IF(AND(I13=R13,O13=S13),"OK","MISMATCH")</f>
        <v>OK</v>
      </c>
    </row>
    <row r="14" customFormat="false" ht="15" hidden="false" customHeight="false" outlineLevel="0" collapsed="false">
      <c r="A14" s="4" t="s">
        <v>29</v>
      </c>
      <c r="B14" s="4" t="s">
        <v>42</v>
      </c>
      <c r="C14" s="4" t="s">
        <v>43</v>
      </c>
      <c r="D14" s="5" t="n">
        <v>38</v>
      </c>
      <c r="E14" s="5" t="n">
        <v>18</v>
      </c>
      <c r="F14" s="5" t="n">
        <v>30</v>
      </c>
      <c r="G14" s="5" t="n">
        <v>37</v>
      </c>
      <c r="H14" s="5" t="n">
        <v>0</v>
      </c>
      <c r="I14" s="6" t="n">
        <f aca="false">SUM(D14:H14)</f>
        <v>123</v>
      </c>
      <c r="J14" s="7" t="n">
        <v>31</v>
      </c>
      <c r="K14" s="7" t="n">
        <v>35</v>
      </c>
      <c r="L14" s="7" t="n">
        <v>26</v>
      </c>
      <c r="M14" s="7" t="n">
        <v>28</v>
      </c>
      <c r="N14" s="7" t="n">
        <v>0</v>
      </c>
      <c r="O14" s="8" t="n">
        <f aca="false">SUM(J14:N14)</f>
        <v>120</v>
      </c>
      <c r="P14" s="4" t="str">
        <f aca="false">IF(I14&gt;O14,B14,C14)</f>
        <v>Indiana Pacers</v>
      </c>
      <c r="Q14" s="9" t="n">
        <f aca="false">ABS(I14-O14)</f>
        <v>3</v>
      </c>
      <c r="R14" s="10" t="n">
        <v>123</v>
      </c>
      <c r="S14" s="10" t="n">
        <v>120</v>
      </c>
      <c r="T14" s="10" t="str">
        <f aca="false">IF(AND(I14=R14,O14=S14),"OK","MISMATCH")</f>
        <v>OK</v>
      </c>
    </row>
    <row r="15" customFormat="false" ht="15" hidden="false" customHeight="false" outlineLevel="0" collapsed="false">
      <c r="A15" s="4" t="s">
        <v>29</v>
      </c>
      <c r="B15" s="4" t="s">
        <v>44</v>
      </c>
      <c r="C15" s="4" t="s">
        <v>45</v>
      </c>
      <c r="D15" s="5" t="n">
        <v>26</v>
      </c>
      <c r="E15" s="5" t="n">
        <v>12</v>
      </c>
      <c r="F15" s="5" t="n">
        <v>38</v>
      </c>
      <c r="G15" s="5" t="n">
        <v>34</v>
      </c>
      <c r="H15" s="5" t="n">
        <v>0</v>
      </c>
      <c r="I15" s="6" t="n">
        <f aca="false">SUM(D15:H15)</f>
        <v>110</v>
      </c>
      <c r="J15" s="7" t="n">
        <v>32</v>
      </c>
      <c r="K15" s="7" t="n">
        <v>38</v>
      </c>
      <c r="L15" s="7" t="n">
        <v>30</v>
      </c>
      <c r="M15" s="7" t="n">
        <v>28</v>
      </c>
      <c r="N15" s="7" t="n">
        <v>0</v>
      </c>
      <c r="O15" s="8" t="n">
        <f aca="false">SUM(J15:N15)</f>
        <v>128</v>
      </c>
      <c r="P15" s="4" t="str">
        <f aca="false">IF(I15&gt;O15,B15,C15)</f>
        <v>Houston Rockets</v>
      </c>
      <c r="Q15" s="9" t="n">
        <f aca="false">ABS(I15-O15)</f>
        <v>18</v>
      </c>
      <c r="R15" s="10" t="n">
        <v>110</v>
      </c>
      <c r="S15" s="10" t="n">
        <v>128</v>
      </c>
      <c r="T15" s="10" t="str">
        <f aca="false">IF(AND(I15=R15,O15=S15),"OK","MISMATCH")</f>
        <v>OK</v>
      </c>
    </row>
    <row r="16" customFormat="false" ht="15" hidden="false" customHeight="false" outlineLevel="0" collapsed="false">
      <c r="A16" s="4" t="s">
        <v>29</v>
      </c>
      <c r="B16" s="4" t="s">
        <v>46</v>
      </c>
      <c r="C16" s="4" t="s">
        <v>47</v>
      </c>
      <c r="D16" s="5" t="n">
        <v>12</v>
      </c>
      <c r="E16" s="5" t="n">
        <v>27</v>
      </c>
      <c r="F16" s="5" t="n">
        <v>27</v>
      </c>
      <c r="G16" s="5" t="n">
        <v>17</v>
      </c>
      <c r="H16" s="5" t="n">
        <v>0</v>
      </c>
      <c r="I16" s="6" t="n">
        <f aca="false">SUM(D16:H16)</f>
        <v>83</v>
      </c>
      <c r="J16" s="7" t="n">
        <v>43</v>
      </c>
      <c r="K16" s="7" t="n">
        <v>29</v>
      </c>
      <c r="L16" s="7" t="n">
        <v>35</v>
      </c>
      <c r="M16" s="7" t="n">
        <v>17</v>
      </c>
      <c r="N16" s="7" t="n">
        <v>0</v>
      </c>
      <c r="O16" s="8" t="n">
        <f aca="false">SUM(J16:N16)</f>
        <v>124</v>
      </c>
      <c r="P16" s="4" t="str">
        <f aca="false">IF(I16&gt;O16,B16,C16)</f>
        <v>Portland Trail Blazers</v>
      </c>
      <c r="Q16" s="9" t="n">
        <f aca="false">ABS(I16-O16)</f>
        <v>41</v>
      </c>
      <c r="R16" s="10" t="n">
        <v>83</v>
      </c>
      <c r="S16" s="10" t="n">
        <v>124</v>
      </c>
      <c r="T16" s="10" t="str">
        <f aca="false">IF(AND(I16=R16,O16=S16),"OK","MISMATCH")</f>
        <v>OK</v>
      </c>
    </row>
    <row r="17" customFormat="false" ht="15" hidden="false" customHeight="false" outlineLevel="0" collapsed="false">
      <c r="A17" s="4" t="s">
        <v>29</v>
      </c>
      <c r="B17" s="4" t="s">
        <v>48</v>
      </c>
      <c r="C17" s="4" t="s">
        <v>49</v>
      </c>
      <c r="D17" s="5" t="n">
        <v>33</v>
      </c>
      <c r="E17" s="5" t="n">
        <v>19</v>
      </c>
      <c r="F17" s="5" t="n">
        <v>16</v>
      </c>
      <c r="G17" s="5" t="n">
        <v>37</v>
      </c>
      <c r="H17" s="5" t="n">
        <v>0</v>
      </c>
      <c r="I17" s="6" t="n">
        <f aca="false">SUM(D17:H17)</f>
        <v>105</v>
      </c>
      <c r="J17" s="7" t="n">
        <v>34</v>
      </c>
      <c r="K17" s="7" t="n">
        <v>32</v>
      </c>
      <c r="L17" s="7" t="n">
        <v>36</v>
      </c>
      <c r="M17" s="7" t="n">
        <v>25</v>
      </c>
      <c r="N17" s="7" t="n">
        <v>0</v>
      </c>
      <c r="O17" s="8" t="n">
        <f aca="false">SUM(J17:N17)</f>
        <v>127</v>
      </c>
      <c r="P17" s="4" t="str">
        <f aca="false">IF(I17&gt;O17,B17,C17)</f>
        <v>Los Angeles Lakers</v>
      </c>
      <c r="Q17" s="9" t="n">
        <f aca="false">ABS(I17-O17)</f>
        <v>22</v>
      </c>
      <c r="R17" s="10" t="n">
        <v>105</v>
      </c>
      <c r="S17" s="10" t="n">
        <v>127</v>
      </c>
      <c r="T17" s="10" t="str">
        <f aca="false">IF(AND(I17=R17,O17=S17),"OK","MISMATCH")</f>
        <v>OK</v>
      </c>
    </row>
    <row r="18" customFormat="false" ht="15" hidden="false" customHeight="false" outlineLevel="0" collapsed="false">
      <c r="A18" s="4" t="s">
        <v>29</v>
      </c>
      <c r="B18" s="4" t="s">
        <v>50</v>
      </c>
      <c r="C18" s="4" t="s">
        <v>51</v>
      </c>
      <c r="D18" s="5" t="n">
        <v>29</v>
      </c>
      <c r="E18" s="5" t="n">
        <v>25</v>
      </c>
      <c r="F18" s="5" t="n">
        <v>16</v>
      </c>
      <c r="G18" s="5" t="n">
        <v>26</v>
      </c>
      <c r="H18" s="5" t="n">
        <v>0</v>
      </c>
      <c r="I18" s="6" t="n">
        <f aca="false">SUM(D18:H18)</f>
        <v>96</v>
      </c>
      <c r="J18" s="7" t="n">
        <v>41</v>
      </c>
      <c r="K18" s="7" t="n">
        <v>20</v>
      </c>
      <c r="L18" s="7" t="n">
        <v>32</v>
      </c>
      <c r="M18" s="7" t="n">
        <v>28</v>
      </c>
      <c r="N18" s="7" t="n">
        <v>0</v>
      </c>
      <c r="O18" s="8" t="n">
        <f aca="false">SUM(J18:N18)</f>
        <v>121</v>
      </c>
      <c r="P18" s="4" t="str">
        <f aca="false">IF(I18&gt;O18,B18,C18)</f>
        <v>LA Clippers</v>
      </c>
      <c r="Q18" s="9" t="n">
        <f aca="false">ABS(I18-O18)</f>
        <v>25</v>
      </c>
      <c r="R18" s="10" t="n">
        <v>96</v>
      </c>
      <c r="S18" s="10" t="n">
        <v>121</v>
      </c>
      <c r="T18" s="10" t="str">
        <f aca="false">IF(AND(I18=R18,O18=S18),"OK","MISMATCH")</f>
        <v>OK</v>
      </c>
    </row>
    <row r="19" customFormat="false" ht="15" hidden="false" customHeight="false" outlineLevel="0" collapsed="false">
      <c r="A19" s="4" t="s">
        <v>52</v>
      </c>
      <c r="B19" s="4" t="s">
        <v>53</v>
      </c>
      <c r="C19" s="4" t="s">
        <v>25</v>
      </c>
      <c r="D19" s="5" t="n">
        <v>35</v>
      </c>
      <c r="E19" s="5" t="n">
        <v>34</v>
      </c>
      <c r="F19" s="5" t="n">
        <v>21</v>
      </c>
      <c r="G19" s="5" t="n">
        <v>16</v>
      </c>
      <c r="H19" s="5" t="n">
        <v>0</v>
      </c>
      <c r="I19" s="6" t="n">
        <f aca="false">SUM(D19:H19)</f>
        <v>106</v>
      </c>
      <c r="J19" s="7" t="n">
        <v>18</v>
      </c>
      <c r="K19" s="7" t="n">
        <v>27</v>
      </c>
      <c r="L19" s="7" t="n">
        <v>37</v>
      </c>
      <c r="M19" s="7" t="n">
        <v>32</v>
      </c>
      <c r="N19" s="7" t="n">
        <v>0</v>
      </c>
      <c r="O19" s="8" t="n">
        <f aca="false">SUM(J19:N19)</f>
        <v>114</v>
      </c>
      <c r="P19" s="4" t="str">
        <f aca="false">IF(I19&gt;O19,B19,C19)</f>
        <v>Philadelphia 76ers</v>
      </c>
      <c r="Q19" s="9" t="n">
        <f aca="false">ABS(I19-O19)</f>
        <v>8</v>
      </c>
      <c r="R19" s="10" t="n">
        <v>106</v>
      </c>
      <c r="S19" s="10" t="n">
        <v>114</v>
      </c>
      <c r="T19" s="10" t="str">
        <f aca="false">IF(AND(I19=R19,O19=S19),"OK","MISMATCH")</f>
        <v>OK</v>
      </c>
    </row>
    <row r="20" customFormat="false" ht="15" hidden="false" customHeight="false" outlineLevel="0" collapsed="false">
      <c r="A20" s="4" t="s">
        <v>52</v>
      </c>
      <c r="B20" s="4" t="s">
        <v>54</v>
      </c>
      <c r="C20" s="4" t="s">
        <v>27</v>
      </c>
      <c r="D20" s="5" t="n">
        <v>27</v>
      </c>
      <c r="E20" s="5" t="n">
        <v>21</v>
      </c>
      <c r="F20" s="5" t="n">
        <v>16</v>
      </c>
      <c r="G20" s="5" t="n">
        <v>20</v>
      </c>
      <c r="H20" s="5" t="n">
        <v>0</v>
      </c>
      <c r="I20" s="6" t="n">
        <f aca="false">SUM(D20:H20)</f>
        <v>84</v>
      </c>
      <c r="J20" s="7" t="n">
        <v>24</v>
      </c>
      <c r="K20" s="7" t="n">
        <v>20</v>
      </c>
      <c r="L20" s="7" t="n">
        <v>26</v>
      </c>
      <c r="M20" s="7" t="n">
        <v>26</v>
      </c>
      <c r="N20" s="7" t="n">
        <v>0</v>
      </c>
      <c r="O20" s="8" t="n">
        <f aca="false">SUM(J20:N20)</f>
        <v>96</v>
      </c>
      <c r="P20" s="4" t="str">
        <f aca="false">IF(I20&gt;O20,B20,C20)</f>
        <v>Oklahoma City Thunder</v>
      </c>
      <c r="Q20" s="9" t="n">
        <f aca="false">ABS(I20-O20)</f>
        <v>12</v>
      </c>
      <c r="R20" s="10" t="n">
        <v>84</v>
      </c>
      <c r="S20" s="10" t="n">
        <v>96</v>
      </c>
      <c r="T20" s="10" t="str">
        <f aca="false">IF(AND(I20=R20,O20=S20),"OK","MISMATCH")</f>
        <v>OK</v>
      </c>
    </row>
    <row r="21" customFormat="false" ht="15" hidden="false" customHeight="false" outlineLevel="0" collapsed="false">
      <c r="A21" s="4" t="s">
        <v>55</v>
      </c>
      <c r="B21" s="4" t="s">
        <v>38</v>
      </c>
      <c r="C21" s="4" t="s">
        <v>32</v>
      </c>
      <c r="D21" s="5" t="n">
        <v>17</v>
      </c>
      <c r="E21" s="5" t="n">
        <v>44</v>
      </c>
      <c r="F21" s="5" t="n">
        <v>41</v>
      </c>
      <c r="G21" s="5" t="n">
        <v>30</v>
      </c>
      <c r="H21" s="5" t="n">
        <v>0</v>
      </c>
      <c r="I21" s="6" t="n">
        <f aca="false">SUM(D21:H21)</f>
        <v>132</v>
      </c>
      <c r="J21" s="7" t="n">
        <v>32</v>
      </c>
      <c r="K21" s="7" t="n">
        <v>30</v>
      </c>
      <c r="L21" s="7" t="n">
        <v>42</v>
      </c>
      <c r="M21" s="7" t="n">
        <v>21</v>
      </c>
      <c r="N21" s="7" t="n">
        <v>0</v>
      </c>
      <c r="O21" s="8" t="n">
        <f aca="false">SUM(J21:N21)</f>
        <v>125</v>
      </c>
      <c r="P21" s="4" t="str">
        <f aca="false">IF(I21&gt;O21,B21,C21)</f>
        <v>Chicago Bulls</v>
      </c>
      <c r="Q21" s="9" t="n">
        <f aca="false">ABS(I21-O21)</f>
        <v>7</v>
      </c>
      <c r="R21" s="10" t="n">
        <v>132</v>
      </c>
      <c r="S21" s="10" t="n">
        <v>125</v>
      </c>
      <c r="T21" s="10" t="str">
        <f aca="false">IF(AND(I21=R21,O21=S21),"OK","MISMATCH")</f>
        <v>OK</v>
      </c>
    </row>
    <row r="22" customFormat="false" ht="15" hidden="false" customHeight="false" outlineLevel="0" collapsed="false">
      <c r="A22" s="4" t="s">
        <v>55</v>
      </c>
      <c r="B22" s="4" t="s">
        <v>30</v>
      </c>
      <c r="C22" s="4" t="s">
        <v>36</v>
      </c>
      <c r="D22" s="5" t="n">
        <v>33</v>
      </c>
      <c r="E22" s="5" t="n">
        <v>35</v>
      </c>
      <c r="F22" s="5" t="n">
        <v>29</v>
      </c>
      <c r="G22" s="5" t="n">
        <v>31</v>
      </c>
      <c r="H22" s="5" t="n">
        <v>0</v>
      </c>
      <c r="I22" s="6" t="n">
        <f aca="false">SUM(D22:H22)</f>
        <v>128</v>
      </c>
      <c r="J22" s="7" t="n">
        <v>20</v>
      </c>
      <c r="K22" s="7" t="n">
        <v>23</v>
      </c>
      <c r="L22" s="7" t="n">
        <v>19</v>
      </c>
      <c r="M22" s="7" t="n">
        <v>19</v>
      </c>
      <c r="N22" s="7" t="n">
        <v>0</v>
      </c>
      <c r="O22" s="8" t="n">
        <f aca="false">SUM(J22:N22)</f>
        <v>81</v>
      </c>
      <c r="P22" s="4" t="str">
        <f aca="false">IF(I22&gt;O22,B22,C22)</f>
        <v>Atlanta Hawks</v>
      </c>
      <c r="Q22" s="9" t="n">
        <f aca="false">ABS(I22-O22)</f>
        <v>47</v>
      </c>
      <c r="R22" s="10" t="n">
        <v>128</v>
      </c>
      <c r="S22" s="10" t="n">
        <v>81</v>
      </c>
      <c r="T22" s="10" t="str">
        <f aca="false">IF(AND(I22=R22,O22=S22),"OK","MISMATCH")</f>
        <v>OK</v>
      </c>
    </row>
    <row r="23" customFormat="false" ht="15" hidden="false" customHeight="false" outlineLevel="0" collapsed="false">
      <c r="A23" s="4" t="s">
        <v>55</v>
      </c>
      <c r="B23" s="4" t="s">
        <v>26</v>
      </c>
      <c r="C23" s="4" t="s">
        <v>23</v>
      </c>
      <c r="D23" s="5" t="n">
        <v>27</v>
      </c>
      <c r="E23" s="5" t="n">
        <v>22</v>
      </c>
      <c r="F23" s="5" t="n">
        <v>24</v>
      </c>
      <c r="G23" s="5" t="n">
        <v>30</v>
      </c>
      <c r="H23" s="5" t="n">
        <v>0</v>
      </c>
      <c r="I23" s="6" t="n">
        <f aca="false">SUM(D23:H23)</f>
        <v>103</v>
      </c>
      <c r="J23" s="7" t="n">
        <v>26</v>
      </c>
      <c r="K23" s="7" t="n">
        <v>24</v>
      </c>
      <c r="L23" s="7" t="n">
        <v>33</v>
      </c>
      <c r="M23" s="7" t="n">
        <v>24</v>
      </c>
      <c r="N23" s="7" t="n">
        <v>0</v>
      </c>
      <c r="O23" s="8" t="n">
        <f aca="false">SUM(J23:N23)</f>
        <v>107</v>
      </c>
      <c r="P23" s="4" t="str">
        <f aca="false">IF(I23&gt;O23,B23,C23)</f>
        <v>Boston Celtics</v>
      </c>
      <c r="Q23" s="9" t="n">
        <f aca="false">ABS(I23-O23)</f>
        <v>4</v>
      </c>
      <c r="R23" s="10" t="n">
        <v>103</v>
      </c>
      <c r="S23" s="10" t="n">
        <v>107</v>
      </c>
      <c r="T23" s="10" t="str">
        <f aca="false">IF(AND(I23=R23,O23=S23),"OK","MISMATCH")</f>
        <v>OK</v>
      </c>
    </row>
    <row r="24" customFormat="false" ht="15" hidden="false" customHeight="false" outlineLevel="0" collapsed="false">
      <c r="A24" s="4" t="s">
        <v>55</v>
      </c>
      <c r="B24" s="4" t="s">
        <v>44</v>
      </c>
      <c r="C24" s="4" t="s">
        <v>42</v>
      </c>
      <c r="D24" s="5" t="n">
        <v>44</v>
      </c>
      <c r="E24" s="5" t="n">
        <v>33</v>
      </c>
      <c r="F24" s="5" t="n">
        <v>21</v>
      </c>
      <c r="G24" s="5" t="n">
        <v>23</v>
      </c>
      <c r="H24" s="5" t="n">
        <v>0</v>
      </c>
      <c r="I24" s="6" t="n">
        <f aca="false">SUM(D24:H24)</f>
        <v>121</v>
      </c>
      <c r="J24" s="7" t="n">
        <v>27</v>
      </c>
      <c r="K24" s="7" t="n">
        <v>16</v>
      </c>
      <c r="L24" s="7" t="n">
        <v>33</v>
      </c>
      <c r="M24" s="7" t="n">
        <v>29</v>
      </c>
      <c r="N24" s="7" t="n">
        <v>0</v>
      </c>
      <c r="O24" s="8" t="n">
        <f aca="false">SUM(J24:N24)</f>
        <v>105</v>
      </c>
      <c r="P24" s="4" t="str">
        <f aca="false">IF(I24&gt;O24,B24,C24)</f>
        <v>Dallas Mavericks</v>
      </c>
      <c r="Q24" s="9" t="n">
        <f aca="false">ABS(I24-O24)</f>
        <v>16</v>
      </c>
      <c r="R24" s="10" t="n">
        <v>121</v>
      </c>
      <c r="S24" s="10" t="n">
        <v>105</v>
      </c>
      <c r="T24" s="10" t="str">
        <f aca="false">IF(AND(I24=R24,O24=S24),"OK","MISMATCH")</f>
        <v>OK</v>
      </c>
    </row>
    <row r="25" customFormat="false" ht="15" hidden="false" customHeight="false" outlineLevel="0" collapsed="false">
      <c r="A25" s="4" t="s">
        <v>55</v>
      </c>
      <c r="B25" s="4" t="s">
        <v>34</v>
      </c>
      <c r="C25" s="4" t="s">
        <v>31</v>
      </c>
      <c r="D25" s="5" t="n">
        <v>26</v>
      </c>
      <c r="E25" s="5" t="n">
        <v>31</v>
      </c>
      <c r="F25" s="5" t="n">
        <v>29</v>
      </c>
      <c r="G25" s="5" t="n">
        <v>29</v>
      </c>
      <c r="H25" s="5" t="n">
        <v>0</v>
      </c>
      <c r="I25" s="6" t="n">
        <f aca="false">SUM(D25:H25)</f>
        <v>115</v>
      </c>
      <c r="J25" s="7" t="n">
        <v>20</v>
      </c>
      <c r="K25" s="7" t="n">
        <v>25</v>
      </c>
      <c r="L25" s="7" t="n">
        <v>15</v>
      </c>
      <c r="M25" s="7" t="n">
        <v>33</v>
      </c>
      <c r="N25" s="7" t="n">
        <v>0</v>
      </c>
      <c r="O25" s="8" t="n">
        <f aca="false">SUM(J25:N25)</f>
        <v>93</v>
      </c>
      <c r="P25" s="4" t="str">
        <f aca="false">IF(I25&gt;O25,B25,C25)</f>
        <v>Minnesota Timberwolves</v>
      </c>
      <c r="Q25" s="9" t="n">
        <f aca="false">ABS(I25-O25)</f>
        <v>22</v>
      </c>
      <c r="R25" s="10" t="n">
        <v>115</v>
      </c>
      <c r="S25" s="10" t="n">
        <v>93</v>
      </c>
      <c r="T25" s="10" t="str">
        <f aca="false">IF(AND(I25=R25,O25=S25),"OK","MISMATCH")</f>
        <v>OK</v>
      </c>
    </row>
    <row r="26" customFormat="false" ht="15" hidden="false" customHeight="false" outlineLevel="0" collapsed="false">
      <c r="A26" s="4" t="s">
        <v>55</v>
      </c>
      <c r="B26" s="4" t="s">
        <v>39</v>
      </c>
      <c r="C26" s="4" t="s">
        <v>33</v>
      </c>
      <c r="D26" s="5" t="n">
        <v>34</v>
      </c>
      <c r="E26" s="5" t="n">
        <v>26</v>
      </c>
      <c r="F26" s="5" t="n">
        <v>21</v>
      </c>
      <c r="G26" s="5" t="n">
        <v>31</v>
      </c>
      <c r="H26" s="5" t="n">
        <v>0</v>
      </c>
      <c r="I26" s="6" t="n">
        <f aca="false">SUM(D26:H26)</f>
        <v>112</v>
      </c>
      <c r="J26" s="7" t="n">
        <v>21</v>
      </c>
      <c r="K26" s="7" t="n">
        <v>31</v>
      </c>
      <c r="L26" s="7" t="n">
        <v>25</v>
      </c>
      <c r="M26" s="7" t="n">
        <v>25</v>
      </c>
      <c r="N26" s="7" t="n">
        <v>0</v>
      </c>
      <c r="O26" s="8" t="n">
        <f aca="false">SUM(J26:N26)</f>
        <v>102</v>
      </c>
      <c r="P26" s="4" t="str">
        <f aca="false">IF(I26&gt;O26,B26,C26)</f>
        <v>Toronto Raptors</v>
      </c>
      <c r="Q26" s="9" t="n">
        <f aca="false">ABS(I26-O26)</f>
        <v>10</v>
      </c>
      <c r="R26" s="10" t="n">
        <v>112</v>
      </c>
      <c r="S26" s="10" t="n">
        <v>102</v>
      </c>
      <c r="T26" s="10" t="str">
        <f aca="false">IF(AND(I26=R26,O26=S26),"OK","MISMATCH")</f>
        <v>OK</v>
      </c>
    </row>
    <row r="27" customFormat="false" ht="15" hidden="false" customHeight="false" outlineLevel="0" collapsed="false">
      <c r="A27" s="4" t="s">
        <v>55</v>
      </c>
      <c r="B27" s="4" t="s">
        <v>24</v>
      </c>
      <c r="C27" s="4" t="s">
        <v>35</v>
      </c>
      <c r="D27" s="5" t="n">
        <v>41</v>
      </c>
      <c r="E27" s="5" t="n">
        <v>24</v>
      </c>
      <c r="F27" s="5" t="n">
        <v>38</v>
      </c>
      <c r="G27" s="5" t="n">
        <v>25</v>
      </c>
      <c r="H27" s="5" t="n">
        <v>0</v>
      </c>
      <c r="I27" s="6" t="n">
        <f aca="false">SUM(D27:H27)</f>
        <v>128</v>
      </c>
      <c r="J27" s="7" t="n">
        <v>26</v>
      </c>
      <c r="K27" s="7" t="n">
        <v>27</v>
      </c>
      <c r="L27" s="7" t="n">
        <v>27</v>
      </c>
      <c r="M27" s="7" t="n">
        <v>31</v>
      </c>
      <c r="N27" s="7" t="n">
        <v>0</v>
      </c>
      <c r="O27" s="8" t="n">
        <f aca="false">SUM(J27:N27)</f>
        <v>111</v>
      </c>
      <c r="P27" s="4" t="str">
        <f aca="false">IF(I27&gt;O27,B27,C27)</f>
        <v>Detroit Pistons</v>
      </c>
      <c r="Q27" s="9" t="n">
        <f aca="false">ABS(I27-O27)</f>
        <v>17</v>
      </c>
      <c r="R27" s="10" t="n">
        <v>128</v>
      </c>
      <c r="S27" s="10" t="n">
        <v>111</v>
      </c>
      <c r="T27" s="10" t="str">
        <f aca="false">IF(AND(I27=R27,O27=S27),"OK","MISMATCH")</f>
        <v>OK</v>
      </c>
    </row>
    <row r="28" customFormat="false" ht="15" hidden="false" customHeight="false" outlineLevel="0" collapsed="false">
      <c r="A28" s="4" t="s">
        <v>55</v>
      </c>
      <c r="B28" s="4" t="s">
        <v>45</v>
      </c>
      <c r="C28" s="4" t="s">
        <v>28</v>
      </c>
      <c r="D28" s="5" t="n">
        <v>32</v>
      </c>
      <c r="E28" s="5" t="n">
        <v>29</v>
      </c>
      <c r="F28" s="5" t="n">
        <v>24</v>
      </c>
      <c r="G28" s="5" t="n">
        <v>29</v>
      </c>
      <c r="H28" s="5" t="n">
        <v>0</v>
      </c>
      <c r="I28" s="6" t="n">
        <f aca="false">SUM(D28:H28)</f>
        <v>114</v>
      </c>
      <c r="J28" s="7" t="n">
        <v>27</v>
      </c>
      <c r="K28" s="7" t="n">
        <v>32</v>
      </c>
      <c r="L28" s="7" t="n">
        <v>22</v>
      </c>
      <c r="M28" s="7" t="n">
        <v>29</v>
      </c>
      <c r="N28" s="7" t="n">
        <v>0</v>
      </c>
      <c r="O28" s="8" t="n">
        <f aca="false">SUM(J28:N28)</f>
        <v>110</v>
      </c>
      <c r="P28" s="4" t="str">
        <f aca="false">IF(I28&gt;O28,B28,C28)</f>
        <v>Houston Rockets</v>
      </c>
      <c r="Q28" s="9" t="n">
        <f aca="false">ABS(I28-O28)</f>
        <v>4</v>
      </c>
      <c r="R28" s="10" t="n">
        <v>114</v>
      </c>
      <c r="S28" s="10" t="n">
        <v>110</v>
      </c>
      <c r="T28" s="10" t="str">
        <f aca="false">IF(AND(I28=R28,O28=S28),"OK","MISMATCH")</f>
        <v>OK</v>
      </c>
    </row>
    <row r="29" customFormat="false" ht="15" hidden="false" customHeight="false" outlineLevel="0" collapsed="false">
      <c r="A29" s="4" t="s">
        <v>55</v>
      </c>
      <c r="B29" s="4" t="s">
        <v>43</v>
      </c>
      <c r="C29" s="4" t="s">
        <v>40</v>
      </c>
      <c r="D29" s="5" t="n">
        <v>28</v>
      </c>
      <c r="E29" s="5" t="n">
        <v>24</v>
      </c>
      <c r="F29" s="5" t="n">
        <v>38</v>
      </c>
      <c r="G29" s="5" t="n">
        <v>29</v>
      </c>
      <c r="H29" s="5" t="n">
        <v>0</v>
      </c>
      <c r="I29" s="6" t="n">
        <f aca="false">SUM(D29:H29)</f>
        <v>119</v>
      </c>
      <c r="J29" s="7" t="n">
        <v>31</v>
      </c>
      <c r="K29" s="7" t="n">
        <v>31</v>
      </c>
      <c r="L29" s="7" t="n">
        <v>24</v>
      </c>
      <c r="M29" s="7" t="n">
        <v>34</v>
      </c>
      <c r="N29" s="7" t="n">
        <v>0</v>
      </c>
      <c r="O29" s="8" t="n">
        <f aca="false">SUM(J29:N29)</f>
        <v>120</v>
      </c>
      <c r="P29" s="4" t="str">
        <f aca="false">IF(I29&gt;O29,B29,C29)</f>
        <v>Utah Jazz</v>
      </c>
      <c r="Q29" s="9" t="n">
        <f aca="false">ABS(I29-O29)</f>
        <v>1</v>
      </c>
      <c r="R29" s="10" t="n">
        <v>119</v>
      </c>
      <c r="S29" s="10" t="n">
        <v>120</v>
      </c>
      <c r="T29" s="10" t="str">
        <f aca="false">IF(AND(I29=R29,O29=S29),"OK","MISMATCH")</f>
        <v>OK</v>
      </c>
    </row>
    <row r="30" customFormat="false" ht="15" hidden="false" customHeight="false" outlineLevel="0" collapsed="false">
      <c r="A30" s="4" t="s">
        <v>55</v>
      </c>
      <c r="B30" s="4" t="s">
        <v>41</v>
      </c>
      <c r="C30" s="4" t="s">
        <v>48</v>
      </c>
      <c r="D30" s="5" t="n">
        <v>33</v>
      </c>
      <c r="E30" s="5" t="n">
        <v>27</v>
      </c>
      <c r="F30" s="5" t="n">
        <v>24</v>
      </c>
      <c r="G30" s="5" t="n">
        <v>27</v>
      </c>
      <c r="H30" s="5" t="n">
        <v>0</v>
      </c>
      <c r="I30" s="6" t="n">
        <f aca="false">SUM(D30:H30)</f>
        <v>111</v>
      </c>
      <c r="J30" s="7" t="n">
        <v>34</v>
      </c>
      <c r="K30" s="7" t="n">
        <v>22</v>
      </c>
      <c r="L30" s="7" t="n">
        <v>34</v>
      </c>
      <c r="M30" s="7" t="n">
        <v>18</v>
      </c>
      <c r="N30" s="7" t="n">
        <v>0</v>
      </c>
      <c r="O30" s="8" t="n">
        <f aca="false">SUM(J30:N30)</f>
        <v>108</v>
      </c>
      <c r="P30" s="4" t="str">
        <f aca="false">IF(I30&gt;O30,B30,C30)</f>
        <v>Memphis Grizzlies</v>
      </c>
      <c r="Q30" s="9" t="n">
        <f aca="false">ABS(I30-O30)</f>
        <v>3</v>
      </c>
      <c r="R30" s="10" t="n">
        <v>111</v>
      </c>
      <c r="S30" s="10" t="n">
        <v>108</v>
      </c>
      <c r="T30" s="10" t="str">
        <f aca="false">IF(AND(I30=R30,O30=S30),"OK","MISMATCH")</f>
        <v>OK</v>
      </c>
    </row>
    <row r="31" customFormat="false" ht="15" hidden="false" customHeight="false" outlineLevel="0" collapsed="false">
      <c r="A31" s="4" t="s">
        <v>55</v>
      </c>
      <c r="B31" s="4" t="s">
        <v>47</v>
      </c>
      <c r="C31" s="4" t="s">
        <v>50</v>
      </c>
      <c r="D31" s="5" t="n">
        <v>27</v>
      </c>
      <c r="E31" s="5" t="n">
        <v>32</v>
      </c>
      <c r="F31" s="5" t="n">
        <v>44</v>
      </c>
      <c r="G31" s="5" t="n">
        <v>25</v>
      </c>
      <c r="H31" s="5" t="n">
        <v>0</v>
      </c>
      <c r="I31" s="6" t="n">
        <f aca="false">SUM(D31:H31)</f>
        <v>128</v>
      </c>
      <c r="J31" s="7" t="n">
        <v>33</v>
      </c>
      <c r="K31" s="7" t="n">
        <v>31</v>
      </c>
      <c r="L31" s="7" t="n">
        <v>26</v>
      </c>
      <c r="M31" s="7" t="n">
        <v>30</v>
      </c>
      <c r="N31" s="7" t="n">
        <v>0</v>
      </c>
      <c r="O31" s="8" t="n">
        <f aca="false">SUM(J31:N31)</f>
        <v>120</v>
      </c>
      <c r="P31" s="4" t="str">
        <f aca="false">IF(I31&gt;O31,B31,C31)</f>
        <v>Portland Trail Blazers</v>
      </c>
      <c r="Q31" s="9" t="n">
        <f aca="false">ABS(I31-O31)</f>
        <v>8</v>
      </c>
      <c r="R31" s="10" t="n">
        <v>128</v>
      </c>
      <c r="S31" s="10" t="n">
        <v>120</v>
      </c>
      <c r="T31" s="10" t="str">
        <f aca="false">IF(AND(I31=R31,O31=S31),"OK","MISMATCH")</f>
        <v>OK</v>
      </c>
    </row>
    <row r="32" customFormat="false" ht="15" hidden="false" customHeight="false" outlineLevel="0" collapsed="false">
      <c r="A32" s="4" t="s">
        <v>55</v>
      </c>
      <c r="B32" s="4" t="s">
        <v>51</v>
      </c>
      <c r="C32" s="4" t="s">
        <v>49</v>
      </c>
      <c r="D32" s="5" t="n">
        <v>31</v>
      </c>
      <c r="E32" s="5" t="n">
        <v>33</v>
      </c>
      <c r="F32" s="5" t="n">
        <v>26</v>
      </c>
      <c r="G32" s="5" t="n">
        <v>27</v>
      </c>
      <c r="H32" s="5" t="n">
        <v>0</v>
      </c>
      <c r="I32" s="6" t="n">
        <f aca="false">SUM(D32:H32)</f>
        <v>117</v>
      </c>
      <c r="J32" s="7" t="n">
        <v>27</v>
      </c>
      <c r="K32" s="7" t="n">
        <v>37</v>
      </c>
      <c r="L32" s="7" t="n">
        <v>39</v>
      </c>
      <c r="M32" s="7" t="n">
        <v>22</v>
      </c>
      <c r="N32" s="7" t="n">
        <v>0</v>
      </c>
      <c r="O32" s="8" t="n">
        <f aca="false">SUM(J32:N32)</f>
        <v>125</v>
      </c>
      <c r="P32" s="4" t="str">
        <f aca="false">IF(I32&gt;O32,B32,C32)</f>
        <v>Los Angeles Lakers</v>
      </c>
      <c r="Q32" s="9" t="n">
        <f aca="false">ABS(I32-O32)</f>
        <v>8</v>
      </c>
      <c r="R32" s="10" t="n">
        <v>117</v>
      </c>
      <c r="S32" s="10" t="n">
        <v>125</v>
      </c>
      <c r="T32" s="10" t="str">
        <f aca="false">IF(AND(I32=R32,O32=S32),"OK","MISMATCH")</f>
        <v>OK</v>
      </c>
    </row>
    <row r="33" customFormat="false" ht="15" hidden="false" customHeight="false" outlineLevel="0" collapsed="false">
      <c r="A33" s="4" t="s">
        <v>56</v>
      </c>
      <c r="B33" s="4" t="s">
        <v>35</v>
      </c>
      <c r="C33" s="4" t="s">
        <v>36</v>
      </c>
      <c r="D33" s="5" t="n">
        <v>31</v>
      </c>
      <c r="E33" s="5" t="n">
        <v>27</v>
      </c>
      <c r="F33" s="5" t="n">
        <v>17</v>
      </c>
      <c r="G33" s="5" t="n">
        <v>35</v>
      </c>
      <c r="H33" s="5" t="n">
        <v>0</v>
      </c>
      <c r="I33" s="6" t="n">
        <f aca="false">SUM(D33:H33)</f>
        <v>110</v>
      </c>
      <c r="J33" s="7" t="n">
        <v>31</v>
      </c>
      <c r="K33" s="7" t="n">
        <v>35</v>
      </c>
      <c r="L33" s="7" t="n">
        <v>30</v>
      </c>
      <c r="M33" s="7" t="n">
        <v>19</v>
      </c>
      <c r="N33" s="7" t="n">
        <v>0</v>
      </c>
      <c r="O33" s="8" t="n">
        <f aca="false">SUM(J33:N33)</f>
        <v>115</v>
      </c>
      <c r="P33" s="4" t="str">
        <f aca="false">IF(I33&gt;O33,B33,C33)</f>
        <v>Charlotte Hornets</v>
      </c>
      <c r="Q33" s="9" t="n">
        <f aca="false">ABS(I33-O33)</f>
        <v>5</v>
      </c>
      <c r="R33" s="10" t="n">
        <v>110</v>
      </c>
      <c r="S33" s="10" t="n">
        <v>115</v>
      </c>
      <c r="T33" s="10" t="str">
        <f aca="false">IF(AND(I33=R33,O33=S33),"OK","MISMATCH")</f>
        <v>OK</v>
      </c>
    </row>
    <row r="34" customFormat="false" ht="15" hidden="false" customHeight="false" outlineLevel="0" collapsed="false">
      <c r="A34" s="4" t="s">
        <v>56</v>
      </c>
      <c r="B34" s="4" t="s">
        <v>32</v>
      </c>
      <c r="C34" s="4" t="s">
        <v>25</v>
      </c>
      <c r="D34" s="5" t="n">
        <v>25</v>
      </c>
      <c r="E34" s="5" t="n">
        <v>35</v>
      </c>
      <c r="F34" s="5" t="n">
        <v>27</v>
      </c>
      <c r="G34" s="5" t="n">
        <v>29</v>
      </c>
      <c r="H34" s="5" t="n">
        <v>0</v>
      </c>
      <c r="I34" s="6" t="n">
        <f aca="false">SUM(D34:H34)</f>
        <v>116</v>
      </c>
      <c r="J34" s="7" t="n">
        <v>34</v>
      </c>
      <c r="K34" s="7" t="n">
        <v>30</v>
      </c>
      <c r="L34" s="7" t="n">
        <v>33</v>
      </c>
      <c r="M34" s="7" t="n">
        <v>30</v>
      </c>
      <c r="N34" s="7" t="n">
        <v>0</v>
      </c>
      <c r="O34" s="8" t="n">
        <f aca="false">SUM(J34:N34)</f>
        <v>127</v>
      </c>
      <c r="P34" s="4" t="str">
        <f aca="false">IF(I34&gt;O34,B34,C34)</f>
        <v>Philadelphia 76ers</v>
      </c>
      <c r="Q34" s="9" t="n">
        <f aca="false">ABS(I34-O34)</f>
        <v>11</v>
      </c>
      <c r="R34" s="10" t="n">
        <v>116</v>
      </c>
      <c r="S34" s="10" t="n">
        <v>127</v>
      </c>
      <c r="T34" s="10" t="str">
        <f aca="false">IF(AND(I34=R34,O34=S34),"OK","MISMATCH")</f>
        <v>OK</v>
      </c>
    </row>
    <row r="35" customFormat="false" ht="15" hidden="false" customHeight="false" outlineLevel="0" collapsed="false">
      <c r="A35" s="4" t="s">
        <v>56</v>
      </c>
      <c r="B35" s="4" t="s">
        <v>37</v>
      </c>
      <c r="C35" s="4" t="s">
        <v>53</v>
      </c>
      <c r="D35" s="5" t="n">
        <v>30</v>
      </c>
      <c r="E35" s="5" t="n">
        <v>24</v>
      </c>
      <c r="F35" s="5" t="n">
        <v>26</v>
      </c>
      <c r="G35" s="5" t="n">
        <v>41</v>
      </c>
      <c r="H35" s="5" t="n">
        <v>0</v>
      </c>
      <c r="I35" s="6" t="n">
        <f aca="false">SUM(D35:H35)</f>
        <v>121</v>
      </c>
      <c r="J35" s="7" t="n">
        <v>35</v>
      </c>
      <c r="K35" s="7" t="n">
        <v>33</v>
      </c>
      <c r="L35" s="7" t="n">
        <v>28</v>
      </c>
      <c r="M35" s="7" t="n">
        <v>29</v>
      </c>
      <c r="N35" s="7" t="n">
        <v>0</v>
      </c>
      <c r="O35" s="8" t="n">
        <f aca="false">SUM(J35:N35)</f>
        <v>125</v>
      </c>
      <c r="P35" s="4" t="str">
        <f aca="false">IF(I35&gt;O35,B35,C35)</f>
        <v>Cleveland Cavaliers</v>
      </c>
      <c r="Q35" s="9" t="n">
        <f aca="false">ABS(I35-O35)</f>
        <v>4</v>
      </c>
      <c r="R35" s="10" t="n">
        <v>121</v>
      </c>
      <c r="S35" s="10" t="n">
        <v>125</v>
      </c>
      <c r="T35" s="10" t="str">
        <f aca="false">IF(AND(I35=R35,O35=S35),"OK","MISMATCH")</f>
        <v>OK</v>
      </c>
    </row>
    <row r="36" customFormat="false" ht="15" hidden="false" customHeight="false" outlineLevel="0" collapsed="false">
      <c r="A36" s="4" t="s">
        <v>56</v>
      </c>
      <c r="B36" s="4" t="s">
        <v>33</v>
      </c>
      <c r="C36" s="4" t="s">
        <v>38</v>
      </c>
      <c r="D36" s="5" t="n">
        <v>28</v>
      </c>
      <c r="E36" s="5" t="n">
        <v>29</v>
      </c>
      <c r="F36" s="5" t="n">
        <v>40</v>
      </c>
      <c r="G36" s="5" t="n">
        <v>27</v>
      </c>
      <c r="H36" s="5" t="n">
        <v>0</v>
      </c>
      <c r="I36" s="6" t="n">
        <f aca="false">SUM(D36:H36)</f>
        <v>124</v>
      </c>
      <c r="J36" s="7" t="n">
        <v>27</v>
      </c>
      <c r="K36" s="7" t="n">
        <v>35</v>
      </c>
      <c r="L36" s="7" t="n">
        <v>20</v>
      </c>
      <c r="M36" s="7" t="n">
        <v>38</v>
      </c>
      <c r="N36" s="7" t="n">
        <v>0</v>
      </c>
      <c r="O36" s="8" t="n">
        <f aca="false">SUM(J36:N36)</f>
        <v>120</v>
      </c>
      <c r="P36" s="4" t="str">
        <f aca="false">IF(I36&gt;O36,B36,C36)</f>
        <v>Washington Wizards</v>
      </c>
      <c r="Q36" s="9" t="n">
        <f aca="false">ABS(I36-O36)</f>
        <v>4</v>
      </c>
      <c r="R36" s="10" t="n">
        <v>124</v>
      </c>
      <c r="S36" s="10" t="n">
        <v>120</v>
      </c>
      <c r="T36" s="10" t="str">
        <f aca="false">IF(AND(I36=R36,O36=S36),"OK","MISMATCH")</f>
        <v>OK</v>
      </c>
    </row>
    <row r="37" customFormat="false" ht="15" hidden="false" customHeight="false" outlineLevel="0" collapsed="false">
      <c r="A37" s="4" t="s">
        <v>56</v>
      </c>
      <c r="B37" s="4" t="s">
        <v>28</v>
      </c>
      <c r="C37" s="4" t="s">
        <v>44</v>
      </c>
      <c r="D37" s="5" t="n">
        <v>32</v>
      </c>
      <c r="E37" s="5" t="n">
        <v>36</v>
      </c>
      <c r="F37" s="5" t="n">
        <v>24</v>
      </c>
      <c r="G37" s="5" t="n">
        <v>30</v>
      </c>
      <c r="H37" s="5" t="n">
        <v>0</v>
      </c>
      <c r="I37" s="6" t="n">
        <f aca="false">SUM(D37:H37)</f>
        <v>122</v>
      </c>
      <c r="J37" s="7" t="n">
        <v>31</v>
      </c>
      <c r="K37" s="7" t="n">
        <v>29</v>
      </c>
      <c r="L37" s="7" t="n">
        <v>29</v>
      </c>
      <c r="M37" s="7" t="n">
        <v>17</v>
      </c>
      <c r="N37" s="7" t="n">
        <v>0</v>
      </c>
      <c r="O37" s="8" t="n">
        <f aca="false">SUM(J37:N37)</f>
        <v>106</v>
      </c>
      <c r="P37" s="4" t="str">
        <f aca="false">IF(I37&gt;O37,B37,C37)</f>
        <v>San Antonio Spurs</v>
      </c>
      <c r="Q37" s="9" t="n">
        <f aca="false">ABS(I37-O37)</f>
        <v>16</v>
      </c>
      <c r="R37" s="10" t="n">
        <v>122</v>
      </c>
      <c r="S37" s="10" t="n">
        <v>106</v>
      </c>
      <c r="T37" s="10" t="str">
        <f aca="false">IF(AND(I37=R37,O37=S37),"OK","MISMATCH")</f>
        <v>OK</v>
      </c>
    </row>
    <row r="38" customFormat="false" ht="15" hidden="false" customHeight="false" outlineLevel="0" collapsed="false">
      <c r="A38" s="4" t="s">
        <v>56</v>
      </c>
      <c r="B38" s="4" t="s">
        <v>45</v>
      </c>
      <c r="C38" s="4" t="s">
        <v>30</v>
      </c>
      <c r="D38" s="5" t="n">
        <v>30</v>
      </c>
      <c r="E38" s="5" t="n">
        <v>29</v>
      </c>
      <c r="F38" s="5" t="n">
        <v>33</v>
      </c>
      <c r="G38" s="5" t="n">
        <v>29</v>
      </c>
      <c r="H38" s="5" t="n">
        <v>0</v>
      </c>
      <c r="I38" s="6" t="n">
        <f aca="false">SUM(D38:H38)</f>
        <v>121</v>
      </c>
      <c r="J38" s="7" t="n">
        <v>26</v>
      </c>
      <c r="K38" s="7" t="n">
        <v>22</v>
      </c>
      <c r="L38" s="7" t="n">
        <v>33</v>
      </c>
      <c r="M38" s="7" t="n">
        <v>33</v>
      </c>
      <c r="N38" s="7" t="n">
        <v>0</v>
      </c>
      <c r="O38" s="8" t="n">
        <f aca="false">SUM(J38:N38)</f>
        <v>114</v>
      </c>
      <c r="P38" s="4" t="str">
        <f aca="false">IF(I38&gt;O38,B38,C38)</f>
        <v>Houston Rockets</v>
      </c>
      <c r="Q38" s="9" t="n">
        <f aca="false">ABS(I38-O38)</f>
        <v>7</v>
      </c>
      <c r="R38" s="10" t="n">
        <v>121</v>
      </c>
      <c r="S38" s="10" t="n">
        <v>114</v>
      </c>
      <c r="T38" s="10" t="str">
        <f aca="false">IF(AND(I38=R38,O38=S38),"OK","MISMATCH")</f>
        <v>OK</v>
      </c>
    </row>
    <row r="39" customFormat="false" ht="15" hidden="false" customHeight="false" outlineLevel="0" collapsed="false">
      <c r="A39" s="4" t="s">
        <v>56</v>
      </c>
      <c r="B39" s="4" t="s">
        <v>43</v>
      </c>
      <c r="C39" s="4" t="s">
        <v>54</v>
      </c>
      <c r="D39" s="5" t="n">
        <v>38</v>
      </c>
      <c r="E39" s="5" t="n">
        <v>35</v>
      </c>
      <c r="F39" s="5" t="n">
        <v>35</v>
      </c>
      <c r="G39" s="5" t="n">
        <v>18</v>
      </c>
      <c r="H39" s="5" t="n">
        <v>9</v>
      </c>
      <c r="I39" s="6" t="n">
        <f aca="false">SUM(D39:H39)</f>
        <v>135</v>
      </c>
      <c r="J39" s="7" t="n">
        <v>24</v>
      </c>
      <c r="K39" s="7" t="n">
        <v>33</v>
      </c>
      <c r="L39" s="7" t="n">
        <v>32</v>
      </c>
      <c r="M39" s="7" t="n">
        <v>37</v>
      </c>
      <c r="N39" s="7" t="n">
        <v>15</v>
      </c>
      <c r="O39" s="8" t="n">
        <f aca="false">SUM(J39:N39)</f>
        <v>141</v>
      </c>
      <c r="P39" s="4" t="str">
        <f aca="false">IF(I39&gt;O39,B39,C39)</f>
        <v>Denver Nuggets</v>
      </c>
      <c r="Q39" s="9" t="n">
        <f aca="false">ABS(I39-O39)</f>
        <v>6</v>
      </c>
      <c r="R39" s="10" t="n">
        <v>135</v>
      </c>
      <c r="S39" s="10" t="n">
        <v>141</v>
      </c>
      <c r="T39" s="10" t="str">
        <f aca="false">IF(AND(I39=R39,O39=S39),"OK","MISMATCH")</f>
        <v>OK</v>
      </c>
    </row>
    <row r="40" customFormat="false" ht="15" hidden="false" customHeight="false" outlineLevel="0" collapsed="false">
      <c r="A40" s="4" t="s">
        <v>56</v>
      </c>
      <c r="B40" s="4" t="s">
        <v>48</v>
      </c>
      <c r="C40" s="4" t="s">
        <v>46</v>
      </c>
      <c r="D40" s="5" t="n">
        <v>25</v>
      </c>
      <c r="E40" s="5" t="n">
        <v>29</v>
      </c>
      <c r="F40" s="5" t="n">
        <v>38</v>
      </c>
      <c r="G40" s="5" t="n">
        <v>30</v>
      </c>
      <c r="H40" s="5" t="n">
        <v>0</v>
      </c>
      <c r="I40" s="6" t="n">
        <f aca="false">SUM(D40:H40)</f>
        <v>122</v>
      </c>
      <c r="J40" s="7" t="n">
        <v>22</v>
      </c>
      <c r="K40" s="7" t="n">
        <v>35</v>
      </c>
      <c r="L40" s="7" t="n">
        <v>45</v>
      </c>
      <c r="M40" s="7" t="n">
        <v>29</v>
      </c>
      <c r="N40" s="7" t="n">
        <v>0</v>
      </c>
      <c r="O40" s="8" t="n">
        <f aca="false">SUM(J40:N40)</f>
        <v>131</v>
      </c>
      <c r="P40" s="4" t="str">
        <f aca="false">IF(I40&gt;O40,B40,C40)</f>
        <v>Phoenix Suns</v>
      </c>
      <c r="Q40" s="9" t="n">
        <f aca="false">ABS(I40-O40)</f>
        <v>9</v>
      </c>
      <c r="R40" s="10" t="n">
        <v>122</v>
      </c>
      <c r="S40" s="10" t="n">
        <v>131</v>
      </c>
      <c r="T40" s="10" t="str">
        <f aca="false">IF(AND(I40=R40,O40=S40),"OK","MISMATCH")</f>
        <v>OK</v>
      </c>
    </row>
    <row r="41" customFormat="false" ht="15" hidden="false" customHeight="false" outlineLevel="0" collapsed="false">
      <c r="A41" s="4" t="s">
        <v>57</v>
      </c>
      <c r="B41" s="4" t="s">
        <v>49</v>
      </c>
      <c r="C41" s="4" t="s">
        <v>40</v>
      </c>
      <c r="D41" s="5" t="n">
        <v>29</v>
      </c>
      <c r="E41" s="5" t="n">
        <v>45</v>
      </c>
      <c r="F41" s="5" t="n">
        <v>29</v>
      </c>
      <c r="G41" s="5" t="n">
        <v>29</v>
      </c>
      <c r="H41" s="5" t="n">
        <v>0</v>
      </c>
      <c r="I41" s="6" t="n">
        <f aca="false">SUM(D41:H41)</f>
        <v>132</v>
      </c>
      <c r="J41" s="7" t="n">
        <v>47</v>
      </c>
      <c r="K41" s="7" t="n">
        <v>24</v>
      </c>
      <c r="L41" s="7" t="n">
        <v>29</v>
      </c>
      <c r="M41" s="7" t="n">
        <v>23</v>
      </c>
      <c r="N41" s="7" t="n">
        <v>0</v>
      </c>
      <c r="O41" s="8" t="n">
        <f aca="false">SUM(J41:N41)</f>
        <v>123</v>
      </c>
      <c r="P41" s="4" t="str">
        <f aca="false">IF(I41&gt;O41,B41,C41)</f>
        <v>Los Angeles Lakers</v>
      </c>
      <c r="Q41" s="9" t="n">
        <f aca="false">ABS(I41-O41)</f>
        <v>9</v>
      </c>
      <c r="R41" s="10" t="n">
        <v>132</v>
      </c>
      <c r="S41" s="10" t="n">
        <v>123</v>
      </c>
      <c r="T41" s="10" t="str">
        <f aca="false">IF(AND(I41=R41,O41=S41),"OK","MISMATCH")</f>
        <v>OK</v>
      </c>
    </row>
    <row r="42" customFormat="false" ht="15" hidden="false" customHeight="false" outlineLevel="0" collapsed="false">
      <c r="A42" s="4" t="s">
        <v>57</v>
      </c>
      <c r="B42" s="4" t="s">
        <v>42</v>
      </c>
      <c r="C42" s="4" t="s">
        <v>37</v>
      </c>
      <c r="D42" s="5" t="n">
        <v>24</v>
      </c>
      <c r="E42" s="5" t="n">
        <v>41</v>
      </c>
      <c r="F42" s="5" t="n">
        <v>37</v>
      </c>
      <c r="G42" s="5" t="n">
        <v>34</v>
      </c>
      <c r="H42" s="5" t="n">
        <v>0</v>
      </c>
      <c r="I42" s="6" t="n">
        <f aca="false">SUM(D42:H42)</f>
        <v>136</v>
      </c>
      <c r="J42" s="7" t="n">
        <v>26</v>
      </c>
      <c r="K42" s="7" t="n">
        <v>30</v>
      </c>
      <c r="L42" s="7" t="n">
        <v>24</v>
      </c>
      <c r="M42" s="7" t="n">
        <v>29</v>
      </c>
      <c r="N42" s="7" t="n">
        <v>0</v>
      </c>
      <c r="O42" s="8" t="n">
        <f aca="false">SUM(J42:N42)</f>
        <v>109</v>
      </c>
      <c r="P42" s="4" t="str">
        <f aca="false">IF(I42&gt;O42,B42,C42)</f>
        <v>Indiana Pacers</v>
      </c>
      <c r="Q42" s="9" t="n">
        <f aca="false">ABS(I42-O42)</f>
        <v>27</v>
      </c>
      <c r="R42" s="10" t="n">
        <v>136</v>
      </c>
      <c r="S42" s="10" t="n">
        <v>109</v>
      </c>
      <c r="T42" s="10" t="str">
        <f aca="false">IF(AND(I42=R42,O42=S42),"OK","MISMATCH")</f>
        <v>OK</v>
      </c>
    </row>
    <row r="43" customFormat="false" ht="15" hidden="false" customHeight="false" outlineLevel="0" collapsed="false">
      <c r="A43" s="4" t="s">
        <v>57</v>
      </c>
      <c r="B43" s="4" t="s">
        <v>39</v>
      </c>
      <c r="C43" s="4" t="s">
        <v>34</v>
      </c>
      <c r="D43" s="5" t="n">
        <v>21</v>
      </c>
      <c r="E43" s="5" t="n">
        <v>26</v>
      </c>
      <c r="F43" s="5" t="n">
        <v>15</v>
      </c>
      <c r="G43" s="5" t="n">
        <v>32</v>
      </c>
      <c r="H43" s="5" t="n">
        <v>0</v>
      </c>
      <c r="I43" s="6" t="n">
        <f aca="false">SUM(D43:H43)</f>
        <v>94</v>
      </c>
      <c r="J43" s="7" t="n">
        <v>32</v>
      </c>
      <c r="K43" s="7" t="n">
        <v>23</v>
      </c>
      <c r="L43" s="7" t="n">
        <v>35</v>
      </c>
      <c r="M43" s="7" t="n">
        <v>27</v>
      </c>
      <c r="N43" s="7" t="n">
        <v>0</v>
      </c>
      <c r="O43" s="8" t="n">
        <f aca="false">SUM(J43:N43)</f>
        <v>117</v>
      </c>
      <c r="P43" s="4" t="str">
        <f aca="false">IF(I43&gt;O43,B43,C43)</f>
        <v>Minnesota Timberwolves</v>
      </c>
      <c r="Q43" s="9" t="n">
        <f aca="false">ABS(I43-O43)</f>
        <v>23</v>
      </c>
      <c r="R43" s="10" t="n">
        <v>94</v>
      </c>
      <c r="S43" s="10" t="n">
        <v>117</v>
      </c>
      <c r="T43" s="10" t="str">
        <f aca="false">IF(AND(I43=R43,O43=S43),"OK","MISMATCH")</f>
        <v>OK</v>
      </c>
    </row>
    <row r="44" customFormat="false" ht="15" hidden="false" customHeight="false" outlineLevel="0" collapsed="false">
      <c r="A44" s="4" t="s">
        <v>57</v>
      </c>
      <c r="B44" s="4" t="s">
        <v>51</v>
      </c>
      <c r="C44" s="4" t="s">
        <v>27</v>
      </c>
      <c r="D44" s="5" t="n">
        <v>20</v>
      </c>
      <c r="E44" s="5" t="n">
        <v>26</v>
      </c>
      <c r="F44" s="5" t="n">
        <v>30</v>
      </c>
      <c r="G44" s="5" t="n">
        <v>25</v>
      </c>
      <c r="H44" s="5" t="n">
        <v>0</v>
      </c>
      <c r="I44" s="6" t="n">
        <f aca="false">SUM(D44:H44)</f>
        <v>101</v>
      </c>
      <c r="J44" s="7" t="n">
        <v>23</v>
      </c>
      <c r="K44" s="7" t="n">
        <v>20</v>
      </c>
      <c r="L44" s="7" t="n">
        <v>34</v>
      </c>
      <c r="M44" s="7" t="n">
        <v>31</v>
      </c>
      <c r="N44" s="7" t="n">
        <v>0</v>
      </c>
      <c r="O44" s="8" t="n">
        <f aca="false">SUM(J44:N44)</f>
        <v>108</v>
      </c>
      <c r="P44" s="4" t="str">
        <f aca="false">IF(I44&gt;O44,B44,C44)</f>
        <v>Oklahoma City Thunder</v>
      </c>
      <c r="Q44" s="9" t="n">
        <f aca="false">ABS(I44-O44)</f>
        <v>7</v>
      </c>
      <c r="R44" s="10" t="n">
        <v>101</v>
      </c>
      <c r="S44" s="10" t="n">
        <v>108</v>
      </c>
      <c r="T44" s="10" t="str">
        <f aca="false">IF(AND(I44=R44,O44=S44),"OK","MISMATCH")</f>
        <v>OK</v>
      </c>
    </row>
    <row r="45" customFormat="false" ht="15" hidden="false" customHeight="false" outlineLevel="0" collapsed="false">
      <c r="A45" s="4" t="s">
        <v>57</v>
      </c>
      <c r="B45" s="4" t="s">
        <v>31</v>
      </c>
      <c r="C45" s="4" t="s">
        <v>26</v>
      </c>
      <c r="D45" s="5" t="n">
        <v>21</v>
      </c>
      <c r="E45" s="5" t="n">
        <v>27</v>
      </c>
      <c r="F45" s="5" t="n">
        <v>23</v>
      </c>
      <c r="G45" s="5" t="n">
        <v>40</v>
      </c>
      <c r="H45" s="5" t="n">
        <v>0</v>
      </c>
      <c r="I45" s="6" t="n">
        <f aca="false">SUM(D45:H45)</f>
        <v>111</v>
      </c>
      <c r="J45" s="7" t="n">
        <v>28</v>
      </c>
      <c r="K45" s="7" t="n">
        <v>24</v>
      </c>
      <c r="L45" s="7" t="n">
        <v>23</v>
      </c>
      <c r="M45" s="7" t="n">
        <v>27</v>
      </c>
      <c r="N45" s="7" t="n">
        <v>0</v>
      </c>
      <c r="O45" s="8" t="n">
        <f aca="false">SUM(J45:N45)</f>
        <v>102</v>
      </c>
      <c r="P45" s="4" t="str">
        <f aca="false">IF(I45&gt;O45,B45,C45)</f>
        <v>Orlando Magic</v>
      </c>
      <c r="Q45" s="9" t="n">
        <f aca="false">ABS(I45-O45)</f>
        <v>9</v>
      </c>
      <c r="R45" s="10" t="n">
        <v>111</v>
      </c>
      <c r="S45" s="10" t="n">
        <v>102</v>
      </c>
      <c r="T45" s="10" t="str">
        <f aca="false">IF(AND(I45=R45,O45=S45),"OK","MISMATCH")</f>
        <v>OK</v>
      </c>
    </row>
    <row r="46" customFormat="false" ht="15" hidden="false" customHeight="false" outlineLevel="0" collapsed="false">
      <c r="A46" s="4" t="s">
        <v>57</v>
      </c>
      <c r="B46" s="4" t="s">
        <v>24</v>
      </c>
      <c r="C46" s="4" t="s">
        <v>25</v>
      </c>
      <c r="D46" s="5" t="n">
        <v>34</v>
      </c>
      <c r="E46" s="5" t="n">
        <v>22</v>
      </c>
      <c r="F46" s="5" t="n">
        <v>23</v>
      </c>
      <c r="G46" s="5" t="n">
        <v>27</v>
      </c>
      <c r="H46" s="5" t="n">
        <v>0</v>
      </c>
      <c r="I46" s="6" t="n">
        <f aca="false">SUM(D46:H46)</f>
        <v>106</v>
      </c>
      <c r="J46" s="7" t="n">
        <v>22</v>
      </c>
      <c r="K46" s="7" t="n">
        <v>22</v>
      </c>
      <c r="L46" s="7" t="n">
        <v>25</v>
      </c>
      <c r="M46" s="7" t="n">
        <v>24</v>
      </c>
      <c r="N46" s="7" t="n">
        <v>0</v>
      </c>
      <c r="O46" s="8" t="n">
        <f aca="false">SUM(J46:N46)</f>
        <v>93</v>
      </c>
      <c r="P46" s="4" t="str">
        <f aca="false">IF(I46&gt;O46,B46,C46)</f>
        <v>Detroit Pistons</v>
      </c>
      <c r="Q46" s="9" t="n">
        <f aca="false">ABS(I46-O46)</f>
        <v>13</v>
      </c>
      <c r="R46" s="10" t="n">
        <v>106</v>
      </c>
      <c r="S46" s="10" t="n">
        <v>93</v>
      </c>
      <c r="T46" s="10" t="str">
        <f aca="false">IF(AND(I46=R46,O46=S46),"OK","MISMATCH")</f>
        <v>OK</v>
      </c>
    </row>
    <row r="47" customFormat="false" ht="15" hidden="false" customHeight="false" outlineLevel="0" collapsed="false">
      <c r="A47" s="4" t="s">
        <v>57</v>
      </c>
      <c r="B47" s="4" t="s">
        <v>41</v>
      </c>
      <c r="C47" s="4" t="s">
        <v>50</v>
      </c>
      <c r="D47" s="5" t="n">
        <v>25</v>
      </c>
      <c r="E47" s="5" t="n">
        <v>42</v>
      </c>
      <c r="F47" s="5" t="n">
        <v>29</v>
      </c>
      <c r="G47" s="5" t="n">
        <v>27</v>
      </c>
      <c r="H47" s="5" t="n">
        <v>0</v>
      </c>
      <c r="I47" s="6" t="n">
        <f aca="false">SUM(D47:H47)</f>
        <v>123</v>
      </c>
      <c r="J47" s="7" t="n">
        <v>28</v>
      </c>
      <c r="K47" s="7" t="n">
        <v>31</v>
      </c>
      <c r="L47" s="7" t="n">
        <v>31</v>
      </c>
      <c r="M47" s="7" t="n">
        <v>22</v>
      </c>
      <c r="N47" s="7" t="n">
        <v>0</v>
      </c>
      <c r="O47" s="8" t="n">
        <f aca="false">SUM(J47:N47)</f>
        <v>112</v>
      </c>
      <c r="P47" s="4" t="str">
        <f aca="false">IF(I47&gt;O47,B47,C47)</f>
        <v>Memphis Grizzlies</v>
      </c>
      <c r="Q47" s="9" t="n">
        <f aca="false">ABS(I47-O47)</f>
        <v>11</v>
      </c>
      <c r="R47" s="10" t="n">
        <v>123</v>
      </c>
      <c r="S47" s="10" t="n">
        <v>112</v>
      </c>
      <c r="T47" s="10" t="str">
        <f aca="false">IF(AND(I47=R47,O47=S47),"OK","MISMATCH")</f>
        <v>OK</v>
      </c>
    </row>
    <row r="48" customFormat="false" ht="15" hidden="false" customHeight="false" outlineLevel="0" collapsed="false">
      <c r="A48" s="4" t="s">
        <v>58</v>
      </c>
      <c r="B48" s="4" t="s">
        <v>34</v>
      </c>
      <c r="C48" s="4" t="s">
        <v>53</v>
      </c>
      <c r="D48" s="5" t="n">
        <v>31</v>
      </c>
      <c r="E48" s="5" t="n">
        <v>29</v>
      </c>
      <c r="F48" s="5" t="n">
        <v>26</v>
      </c>
      <c r="G48" s="5" t="n">
        <v>27</v>
      </c>
      <c r="H48" s="5" t="n">
        <v>12</v>
      </c>
      <c r="I48" s="6" t="n">
        <f aca="false">SUM(D48:H48)</f>
        <v>125</v>
      </c>
      <c r="J48" s="7" t="n">
        <v>24</v>
      </c>
      <c r="K48" s="7" t="n">
        <v>26</v>
      </c>
      <c r="L48" s="7" t="n">
        <v>36</v>
      </c>
      <c r="M48" s="7" t="n">
        <v>27</v>
      </c>
      <c r="N48" s="7" t="n">
        <v>14</v>
      </c>
      <c r="O48" s="8" t="n">
        <f aca="false">SUM(J48:N48)</f>
        <v>127</v>
      </c>
      <c r="P48" s="4" t="str">
        <f aca="false">IF(I48&gt;O48,B48,C48)</f>
        <v>Cleveland Cavaliers</v>
      </c>
      <c r="Q48" s="9" t="n">
        <f aca="false">ABS(I48-O48)</f>
        <v>2</v>
      </c>
      <c r="R48" s="10" t="n">
        <v>125</v>
      </c>
      <c r="S48" s="10" t="n">
        <v>127</v>
      </c>
      <c r="T48" s="10" t="str">
        <f aca="false">IF(AND(I48=R48,O48=S48),"OK","MISMATCH")</f>
        <v>OK</v>
      </c>
    </row>
    <row r="49" customFormat="false" ht="15" hidden="false" customHeight="false" outlineLevel="0" collapsed="false">
      <c r="A49" s="4" t="s">
        <v>58</v>
      </c>
      <c r="B49" s="4" t="s">
        <v>33</v>
      </c>
      <c r="C49" s="4" t="s">
        <v>36</v>
      </c>
      <c r="D49" s="5" t="n">
        <v>21</v>
      </c>
      <c r="E49" s="5" t="n">
        <v>23</v>
      </c>
      <c r="F49" s="5" t="n">
        <v>24</v>
      </c>
      <c r="G49" s="5" t="n">
        <v>35</v>
      </c>
      <c r="H49" s="5" t="n">
        <v>0</v>
      </c>
      <c r="I49" s="6" t="n">
        <f aca="false">SUM(D49:H49)</f>
        <v>103</v>
      </c>
      <c r="J49" s="7" t="n">
        <v>19</v>
      </c>
      <c r="K49" s="7" t="n">
        <v>35</v>
      </c>
      <c r="L49" s="7" t="n">
        <v>26</v>
      </c>
      <c r="M49" s="7" t="n">
        <v>30</v>
      </c>
      <c r="N49" s="7" t="n">
        <v>0</v>
      </c>
      <c r="O49" s="8" t="n">
        <f aca="false">SUM(J49:N49)</f>
        <v>110</v>
      </c>
      <c r="P49" s="4" t="str">
        <f aca="false">IF(I49&gt;O49,B49,C49)</f>
        <v>Charlotte Hornets</v>
      </c>
      <c r="Q49" s="9" t="n">
        <f aca="false">ABS(I49-O49)</f>
        <v>7</v>
      </c>
      <c r="R49" s="10" t="n">
        <v>103</v>
      </c>
      <c r="S49" s="10" t="n">
        <v>110</v>
      </c>
      <c r="T49" s="10" t="str">
        <f aca="false">IF(AND(I49=R49,O49=S49),"OK","MISMATCH")</f>
        <v>OK</v>
      </c>
    </row>
    <row r="50" customFormat="false" ht="15" hidden="false" customHeight="false" outlineLevel="0" collapsed="false">
      <c r="A50" s="4" t="s">
        <v>58</v>
      </c>
      <c r="B50" s="4" t="s">
        <v>38</v>
      </c>
      <c r="C50" s="4" t="s">
        <v>23</v>
      </c>
      <c r="D50" s="5" t="n">
        <v>21</v>
      </c>
      <c r="E50" s="5" t="n">
        <v>33</v>
      </c>
      <c r="F50" s="5" t="n">
        <v>21</v>
      </c>
      <c r="G50" s="5" t="n">
        <v>24</v>
      </c>
      <c r="H50" s="5" t="n">
        <v>0</v>
      </c>
      <c r="I50" s="6" t="n">
        <f aca="false">SUM(D50:H50)</f>
        <v>99</v>
      </c>
      <c r="J50" s="7" t="n">
        <v>33</v>
      </c>
      <c r="K50" s="7" t="n">
        <v>33</v>
      </c>
      <c r="L50" s="7" t="n">
        <v>39</v>
      </c>
      <c r="M50" s="7" t="n">
        <v>29</v>
      </c>
      <c r="N50" s="7" t="n">
        <v>0</v>
      </c>
      <c r="O50" s="8" t="n">
        <f aca="false">SUM(J50:N50)</f>
        <v>134</v>
      </c>
      <c r="P50" s="4" t="str">
        <f aca="false">IF(I50&gt;O50,B50,C50)</f>
        <v>Boston Celtics</v>
      </c>
      <c r="Q50" s="9" t="n">
        <f aca="false">ABS(I50-O50)</f>
        <v>35</v>
      </c>
      <c r="R50" s="10" t="n">
        <v>99</v>
      </c>
      <c r="S50" s="10" t="n">
        <v>134</v>
      </c>
      <c r="T50" s="10" t="str">
        <f aca="false">IF(AND(I50=R50,O50=S50),"OK","MISMATCH")</f>
        <v>OK</v>
      </c>
    </row>
    <row r="51" customFormat="false" ht="15" hidden="false" customHeight="false" outlineLevel="0" collapsed="false">
      <c r="A51" s="4" t="s">
        <v>58</v>
      </c>
      <c r="B51" s="4" t="s">
        <v>44</v>
      </c>
      <c r="C51" s="4" t="s">
        <v>35</v>
      </c>
      <c r="D51" s="5" t="n">
        <v>23</v>
      </c>
      <c r="E51" s="5" t="n">
        <v>30</v>
      </c>
      <c r="F51" s="5" t="n">
        <v>30</v>
      </c>
      <c r="G51" s="5" t="n">
        <v>30</v>
      </c>
      <c r="H51" s="5" t="n">
        <v>0</v>
      </c>
      <c r="I51" s="6" t="n">
        <f aca="false">SUM(D51:H51)</f>
        <v>113</v>
      </c>
      <c r="J51" s="7" t="n">
        <v>27</v>
      </c>
      <c r="K51" s="7" t="n">
        <v>25</v>
      </c>
      <c r="L51" s="7" t="n">
        <v>32</v>
      </c>
      <c r="M51" s="7" t="n">
        <v>25</v>
      </c>
      <c r="N51" s="7" t="n">
        <v>0</v>
      </c>
      <c r="O51" s="8" t="n">
        <f aca="false">SUM(J51:N51)</f>
        <v>109</v>
      </c>
      <c r="P51" s="4" t="str">
        <f aca="false">IF(I51&gt;O51,B51,C51)</f>
        <v>Dallas Mavericks</v>
      </c>
      <c r="Q51" s="9" t="n">
        <f aca="false">ABS(I51-O51)</f>
        <v>4</v>
      </c>
      <c r="R51" s="10" t="n">
        <v>113</v>
      </c>
      <c r="S51" s="10" t="n">
        <v>109</v>
      </c>
      <c r="T51" s="10" t="str">
        <f aca="false">IF(AND(I51=R51,O51=S51),"OK","MISMATCH")</f>
        <v>OK</v>
      </c>
    </row>
    <row r="52" customFormat="false" ht="15" hidden="false" customHeight="false" outlineLevel="0" collapsed="false">
      <c r="A52" s="4" t="s">
        <v>58</v>
      </c>
      <c r="B52" s="4" t="s">
        <v>46</v>
      </c>
      <c r="C52" s="4" t="s">
        <v>27</v>
      </c>
      <c r="D52" s="5" t="n">
        <v>27</v>
      </c>
      <c r="E52" s="5" t="n">
        <v>26</v>
      </c>
      <c r="F52" s="5" t="n">
        <v>32</v>
      </c>
      <c r="G52" s="5" t="n">
        <v>29</v>
      </c>
      <c r="H52" s="5" t="n">
        <v>0</v>
      </c>
      <c r="I52" s="6" t="n">
        <f aca="false">SUM(D52:H52)</f>
        <v>114</v>
      </c>
      <c r="J52" s="7" t="n">
        <v>33</v>
      </c>
      <c r="K52" s="7" t="n">
        <v>34</v>
      </c>
      <c r="L52" s="7" t="n">
        <v>32</v>
      </c>
      <c r="M52" s="7" t="n">
        <v>26</v>
      </c>
      <c r="N52" s="7" t="n">
        <v>0</v>
      </c>
      <c r="O52" s="8" t="n">
        <f aca="false">SUM(J52:N52)</f>
        <v>125</v>
      </c>
      <c r="P52" s="4" t="str">
        <f aca="false">IF(I52&gt;O52,B52,C52)</f>
        <v>Oklahoma City Thunder</v>
      </c>
      <c r="Q52" s="9" t="n">
        <f aca="false">ABS(I52-O52)</f>
        <v>11</v>
      </c>
      <c r="R52" s="10" t="n">
        <v>114</v>
      </c>
      <c r="S52" s="10" t="n">
        <v>125</v>
      </c>
      <c r="T52" s="10" t="str">
        <f aca="false">IF(AND(I52=R52,O52=S52),"OK","MISMATCH")</f>
        <v>OK</v>
      </c>
    </row>
    <row r="53" customFormat="false" ht="15" hidden="false" customHeight="false" outlineLevel="0" collapsed="false">
      <c r="A53" s="4" t="s">
        <v>58</v>
      </c>
      <c r="B53" s="4" t="s">
        <v>42</v>
      </c>
      <c r="C53" s="4" t="s">
        <v>32</v>
      </c>
      <c r="D53" s="5" t="n">
        <v>29</v>
      </c>
      <c r="E53" s="5" t="n">
        <v>32</v>
      </c>
      <c r="F53" s="5" t="n">
        <v>24</v>
      </c>
      <c r="G53" s="5" t="n">
        <v>17</v>
      </c>
      <c r="H53" s="5" t="n">
        <v>0</v>
      </c>
      <c r="I53" s="6" t="n">
        <f aca="false">SUM(D53:H53)</f>
        <v>102</v>
      </c>
      <c r="J53" s="7" t="n">
        <v>31</v>
      </c>
      <c r="K53" s="7" t="n">
        <v>19</v>
      </c>
      <c r="L53" s="7" t="n">
        <v>34</v>
      </c>
      <c r="M53" s="7" t="n">
        <v>26</v>
      </c>
      <c r="N53" s="7" t="n">
        <v>0</v>
      </c>
      <c r="O53" s="8" t="n">
        <f aca="false">SUM(J53:N53)</f>
        <v>110</v>
      </c>
      <c r="P53" s="4" t="str">
        <f aca="false">IF(I53&gt;O53,B53,C53)</f>
        <v>Milwaukee Bucks</v>
      </c>
      <c r="Q53" s="9" t="n">
        <f aca="false">ABS(I53-O53)</f>
        <v>8</v>
      </c>
      <c r="R53" s="10" t="n">
        <v>102</v>
      </c>
      <c r="S53" s="10" t="n">
        <v>110</v>
      </c>
      <c r="T53" s="10" t="str">
        <f aca="false">IF(AND(I53=R53,O53=S53),"OK","MISMATCH")</f>
        <v>OK</v>
      </c>
    </row>
    <row r="54" customFormat="false" ht="15" hidden="false" customHeight="false" outlineLevel="0" collapsed="false">
      <c r="A54" s="4" t="s">
        <v>58</v>
      </c>
      <c r="B54" s="4" t="s">
        <v>30</v>
      </c>
      <c r="C54" s="4" t="s">
        <v>45</v>
      </c>
      <c r="D54" s="5" t="n">
        <v>35</v>
      </c>
      <c r="E54" s="5" t="n">
        <v>31</v>
      </c>
      <c r="F54" s="5" t="n">
        <v>19</v>
      </c>
      <c r="G54" s="5" t="n">
        <v>25</v>
      </c>
      <c r="H54" s="5" t="n">
        <v>0</v>
      </c>
      <c r="I54" s="6" t="n">
        <f aca="false">SUM(D54:H54)</f>
        <v>110</v>
      </c>
      <c r="J54" s="7" t="n">
        <v>32</v>
      </c>
      <c r="K54" s="7" t="n">
        <v>31</v>
      </c>
      <c r="L54" s="7" t="n">
        <v>28</v>
      </c>
      <c r="M54" s="7" t="n">
        <v>29</v>
      </c>
      <c r="N54" s="7" t="n">
        <v>0</v>
      </c>
      <c r="O54" s="8" t="n">
        <f aca="false">SUM(J54:N54)</f>
        <v>120</v>
      </c>
      <c r="P54" s="4" t="str">
        <f aca="false">IF(I54&gt;O54,B54,C54)</f>
        <v>Houston Rockets</v>
      </c>
      <c r="Q54" s="9" t="n">
        <f aca="false">ABS(I54-O54)</f>
        <v>10</v>
      </c>
      <c r="R54" s="10" t="n">
        <v>110</v>
      </c>
      <c r="S54" s="10" t="n">
        <v>120</v>
      </c>
      <c r="T54" s="10" t="str">
        <f aca="false">IF(AND(I54=R54,O54=S54),"OK","MISMATCH")</f>
        <v>OK</v>
      </c>
    </row>
    <row r="55" customFormat="false" ht="15" hidden="false" customHeight="false" outlineLevel="0" collapsed="false">
      <c r="A55" s="4" t="s">
        <v>58</v>
      </c>
      <c r="B55" s="4" t="s">
        <v>41</v>
      </c>
      <c r="C55" s="4" t="s">
        <v>40</v>
      </c>
      <c r="D55" s="5" t="n">
        <v>30</v>
      </c>
      <c r="E55" s="5" t="n">
        <v>28</v>
      </c>
      <c r="F55" s="5" t="n">
        <v>31</v>
      </c>
      <c r="G55" s="5" t="n">
        <v>21</v>
      </c>
      <c r="H55" s="5" t="n">
        <v>0</v>
      </c>
      <c r="I55" s="6" t="n">
        <f aca="false">SUM(D55:H55)</f>
        <v>110</v>
      </c>
      <c r="J55" s="7" t="n">
        <v>21</v>
      </c>
      <c r="K55" s="7" t="n">
        <v>31</v>
      </c>
      <c r="L55" s="7" t="n">
        <v>24</v>
      </c>
      <c r="M55" s="7" t="n">
        <v>29</v>
      </c>
      <c r="N55" s="7" t="n">
        <v>0</v>
      </c>
      <c r="O55" s="8" t="n">
        <f aca="false">SUM(J55:N55)</f>
        <v>105</v>
      </c>
      <c r="P55" s="4" t="str">
        <f aca="false">IF(I55&gt;O55,B55,C55)</f>
        <v>Memphis Grizzlies</v>
      </c>
      <c r="Q55" s="9" t="n">
        <f aca="false">ABS(I55-O55)</f>
        <v>5</v>
      </c>
      <c r="R55" s="10" t="n">
        <v>110</v>
      </c>
      <c r="S55" s="10" t="n">
        <v>105</v>
      </c>
      <c r="T55" s="10" t="str">
        <f aca="false">IF(AND(I55=R55,O55=S55),"OK","MISMATCH")</f>
        <v>OK</v>
      </c>
    </row>
    <row r="56" customFormat="false" ht="15" hidden="false" customHeight="false" outlineLevel="0" collapsed="false">
      <c r="A56" s="4" t="s">
        <v>58</v>
      </c>
      <c r="B56" s="4" t="s">
        <v>48</v>
      </c>
      <c r="C56" s="4" t="s">
        <v>54</v>
      </c>
      <c r="D56" s="5" t="n">
        <v>28</v>
      </c>
      <c r="E56" s="5" t="n">
        <v>32</v>
      </c>
      <c r="F56" s="5" t="n">
        <v>40</v>
      </c>
      <c r="G56" s="5" t="n">
        <v>34</v>
      </c>
      <c r="H56" s="5" t="n">
        <v>0</v>
      </c>
      <c r="I56" s="6" t="n">
        <f aca="false">SUM(D56:H56)</f>
        <v>134</v>
      </c>
      <c r="J56" s="7" t="n">
        <v>32</v>
      </c>
      <c r="K56" s="7" t="n">
        <v>24</v>
      </c>
      <c r="L56" s="7" t="n">
        <v>28</v>
      </c>
      <c r="M56" s="7" t="n">
        <v>30</v>
      </c>
      <c r="N56" s="7" t="n">
        <v>0</v>
      </c>
      <c r="O56" s="8" t="n">
        <f aca="false">SUM(J56:N56)</f>
        <v>114</v>
      </c>
      <c r="P56" s="4" t="str">
        <f aca="false">IF(I56&gt;O56,B56,C56)</f>
        <v>Golden State Warriors</v>
      </c>
      <c r="Q56" s="9" t="n">
        <f aca="false">ABS(I56-O56)</f>
        <v>20</v>
      </c>
      <c r="R56" s="10" t="n">
        <v>134</v>
      </c>
      <c r="S56" s="10" t="n">
        <v>114</v>
      </c>
      <c r="T56" s="10" t="str">
        <f aca="false">IF(AND(I56=R56,O56=S56),"OK","MISMATCH")</f>
        <v>OK</v>
      </c>
    </row>
    <row r="57" customFormat="false" ht="15" hidden="false" customHeight="false" outlineLevel="0" collapsed="false">
      <c r="A57" s="4" t="s">
        <v>59</v>
      </c>
      <c r="B57" s="4" t="s">
        <v>37</v>
      </c>
      <c r="C57" s="4" t="s">
        <v>23</v>
      </c>
      <c r="D57" s="5" t="n">
        <v>31</v>
      </c>
      <c r="E57" s="5" t="n">
        <v>30</v>
      </c>
      <c r="F57" s="5" t="n">
        <v>21</v>
      </c>
      <c r="G57" s="5" t="n">
        <v>35</v>
      </c>
      <c r="H57" s="5" t="n">
        <v>7</v>
      </c>
      <c r="I57" s="6" t="n">
        <f aca="false">SUM(D57:H57)</f>
        <v>124</v>
      </c>
      <c r="J57" s="7" t="n">
        <v>26</v>
      </c>
      <c r="K57" s="7" t="n">
        <v>30</v>
      </c>
      <c r="L57" s="7" t="n">
        <v>30</v>
      </c>
      <c r="M57" s="7" t="n">
        <v>31</v>
      </c>
      <c r="N57" s="7" t="n">
        <v>8</v>
      </c>
      <c r="O57" s="8" t="n">
        <f aca="false">SUM(J57:N57)</f>
        <v>125</v>
      </c>
      <c r="P57" s="4" t="str">
        <f aca="false">IF(I57&gt;O57,B57,C57)</f>
        <v>Boston Celtics</v>
      </c>
      <c r="Q57" s="9" t="n">
        <f aca="false">ABS(I57-O57)</f>
        <v>1</v>
      </c>
      <c r="R57" s="10" t="n">
        <v>124</v>
      </c>
      <c r="S57" s="10" t="n">
        <v>125</v>
      </c>
      <c r="T57" s="10" t="str">
        <f aca="false">IF(AND(I57=R57,O57=S57),"OK","MISMATCH")</f>
        <v>OK</v>
      </c>
    </row>
    <row r="58" customFormat="false" ht="15" hidden="false" customHeight="false" outlineLevel="0" collapsed="false">
      <c r="A58" s="4" t="s">
        <v>59</v>
      </c>
      <c r="B58" s="4" t="s">
        <v>50</v>
      </c>
      <c r="C58" s="4" t="s">
        <v>28</v>
      </c>
      <c r="D58" s="5" t="n">
        <v>29</v>
      </c>
      <c r="E58" s="5" t="n">
        <v>25</v>
      </c>
      <c r="F58" s="5" t="n">
        <v>26</v>
      </c>
      <c r="G58" s="5" t="n">
        <v>23</v>
      </c>
      <c r="H58" s="5" t="n">
        <v>0</v>
      </c>
      <c r="I58" s="6" t="n">
        <f aca="false">SUM(D58:H58)</f>
        <v>103</v>
      </c>
      <c r="J58" s="7" t="n">
        <v>39</v>
      </c>
      <c r="K58" s="7" t="n">
        <v>41</v>
      </c>
      <c r="L58" s="7" t="n">
        <v>27</v>
      </c>
      <c r="M58" s="7" t="n">
        <v>23</v>
      </c>
      <c r="N58" s="7" t="n">
        <v>0</v>
      </c>
      <c r="O58" s="8" t="n">
        <f aca="false">SUM(J58:N58)</f>
        <v>130</v>
      </c>
      <c r="P58" s="4" t="str">
        <f aca="false">IF(I58&gt;O58,B58,C58)</f>
        <v>San Antonio Spurs</v>
      </c>
      <c r="Q58" s="9" t="n">
        <f aca="false">ABS(I58-O58)</f>
        <v>27</v>
      </c>
      <c r="R58" s="10" t="n">
        <v>103</v>
      </c>
      <c r="S58" s="10" t="n">
        <v>130</v>
      </c>
      <c r="T58" s="10" t="str">
        <f aca="false">IF(AND(I58=R58,O58=S58),"OK","MISMATCH")</f>
        <v>OK</v>
      </c>
    </row>
    <row r="59" customFormat="false" ht="15" hidden="false" customHeight="false" outlineLevel="0" collapsed="false">
      <c r="A59" s="4" t="s">
        <v>59</v>
      </c>
      <c r="B59" s="4" t="s">
        <v>24</v>
      </c>
      <c r="C59" s="4" t="s">
        <v>26</v>
      </c>
      <c r="D59" s="5" t="n">
        <v>38</v>
      </c>
      <c r="E59" s="5" t="n">
        <v>12</v>
      </c>
      <c r="F59" s="5" t="n">
        <v>13</v>
      </c>
      <c r="G59" s="5" t="n">
        <v>34</v>
      </c>
      <c r="H59" s="5" t="n">
        <v>0</v>
      </c>
      <c r="I59" s="6" t="n">
        <f aca="false">SUM(D59:H59)</f>
        <v>97</v>
      </c>
      <c r="J59" s="7" t="n">
        <v>25</v>
      </c>
      <c r="K59" s="7" t="n">
        <v>26</v>
      </c>
      <c r="L59" s="7" t="n">
        <v>37</v>
      </c>
      <c r="M59" s="7" t="n">
        <v>23</v>
      </c>
      <c r="N59" s="7" t="n">
        <v>0</v>
      </c>
      <c r="O59" s="8" t="n">
        <f aca="false">SUM(J59:N59)</f>
        <v>111</v>
      </c>
      <c r="P59" s="4" t="str">
        <f aca="false">IF(I59&gt;O59,B59,C59)</f>
        <v>New York Knicks</v>
      </c>
      <c r="Q59" s="9" t="n">
        <f aca="false">ABS(I59-O59)</f>
        <v>14</v>
      </c>
      <c r="R59" s="10" t="n">
        <v>97</v>
      </c>
      <c r="S59" s="10" t="n">
        <v>111</v>
      </c>
      <c r="T59" s="10" t="str">
        <f aca="false">IF(AND(I59=R59,O59=S59),"OK","MISMATCH")</f>
        <v>OK</v>
      </c>
    </row>
    <row r="60" customFormat="false" ht="15" hidden="false" customHeight="false" outlineLevel="0" collapsed="false">
      <c r="A60" s="4" t="s">
        <v>59</v>
      </c>
      <c r="B60" s="4" t="s">
        <v>47</v>
      </c>
      <c r="C60" s="4" t="s">
        <v>49</v>
      </c>
      <c r="D60" s="5" t="n">
        <v>32</v>
      </c>
      <c r="E60" s="5" t="n">
        <v>36</v>
      </c>
      <c r="F60" s="5" t="n">
        <v>34</v>
      </c>
      <c r="G60" s="5" t="n">
        <v>34</v>
      </c>
      <c r="H60" s="5" t="n">
        <v>0</v>
      </c>
      <c r="I60" s="6" t="n">
        <f aca="false">SUM(D60:H60)</f>
        <v>136</v>
      </c>
      <c r="J60" s="7" t="n">
        <v>38</v>
      </c>
      <c r="K60" s="7" t="n">
        <v>35</v>
      </c>
      <c r="L60" s="7" t="n">
        <v>30</v>
      </c>
      <c r="M60" s="7" t="n">
        <v>26</v>
      </c>
      <c r="N60" s="7" t="n">
        <v>0</v>
      </c>
      <c r="O60" s="8" t="n">
        <f aca="false">SUM(J60:N60)</f>
        <v>129</v>
      </c>
      <c r="P60" s="4" t="str">
        <f aca="false">IF(I60&gt;O60,B60,C60)</f>
        <v>Portland Trail Blazers</v>
      </c>
      <c r="Q60" s="9" t="n">
        <f aca="false">ABS(I60-O60)</f>
        <v>7</v>
      </c>
      <c r="R60" s="10" t="n">
        <v>136</v>
      </c>
      <c r="S60" s="10" t="n">
        <v>129</v>
      </c>
      <c r="T60" s="10" t="str">
        <f aca="false">IF(AND(I60=R60,O60=S60),"OK","MISMATCH")</f>
        <v>OK</v>
      </c>
    </row>
    <row r="62" customFormat="false" ht="15" hidden="false" customHeight="false" outlineLevel="0" collapsed="false">
      <c r="A62" s="11" t="s">
        <v>60</v>
      </c>
      <c r="D62" s="11" t="n">
        <f aca="false">COUNTIF(T5:T60,"MISMATCH")</f>
        <v>0</v>
      </c>
    </row>
    <row r="63" customFormat="false" ht="15" hidden="false" customHeight="false" outlineLevel="0" collapsed="false">
      <c r="A63" s="2" t="s">
        <v>61</v>
      </c>
    </row>
  </sheetData>
  <autoFilter ref="A4:T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2026-10-28T21:37:03Z</dcterms:created>
  <dc:creator>openpyxl</dc:creator>
  <dc:description/>
  <dc:language>en-US</dc:language>
  <cp:lastModifiedBy/>
  <dcterms:modified xsi:type="dcterms:W3CDTF">2026-10-28T21:37:03Z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